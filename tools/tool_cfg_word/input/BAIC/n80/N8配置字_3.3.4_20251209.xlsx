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hl\Desktop\"/>
    </mc:Choice>
  </mc:AlternateContent>
  <xr:revisionPtr revIDLastSave="0" documentId="13_ncr:1_{239264C5-0D0D-4CE3-8FAF-F174B1A895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CC配置码表" sheetId="1" r:id="rId1"/>
  </sheets>
  <calcPr calcId="191029" calcOnSave="0" concurrentCalc="0"/>
</workbook>
</file>

<file path=xl/calcChain.xml><?xml version="1.0" encoding="utf-8"?>
<calcChain xmlns="http://schemas.openxmlformats.org/spreadsheetml/2006/main">
  <c r="N222" i="1" l="1"/>
  <c r="M222" i="1"/>
  <c r="L222" i="1"/>
  <c r="K222" i="1"/>
  <c r="J222" i="1"/>
  <c r="I222" i="1"/>
  <c r="H222" i="1"/>
  <c r="G222" i="1"/>
  <c r="F222" i="1"/>
  <c r="E222" i="1"/>
  <c r="N213" i="1"/>
  <c r="M213" i="1"/>
  <c r="L213" i="1"/>
  <c r="K213" i="1"/>
  <c r="J213" i="1"/>
  <c r="I213" i="1"/>
  <c r="H213" i="1"/>
  <c r="G213" i="1"/>
  <c r="F213" i="1"/>
  <c r="E213" i="1"/>
  <c r="N204" i="1"/>
  <c r="M204" i="1"/>
  <c r="L204" i="1"/>
  <c r="K204" i="1"/>
  <c r="J204" i="1"/>
  <c r="I204" i="1"/>
  <c r="H204" i="1"/>
  <c r="G204" i="1"/>
  <c r="F204" i="1"/>
  <c r="E204" i="1"/>
  <c r="N195" i="1"/>
  <c r="M195" i="1"/>
  <c r="L195" i="1"/>
  <c r="K195" i="1"/>
  <c r="J195" i="1"/>
  <c r="I195" i="1"/>
  <c r="H195" i="1"/>
  <c r="G195" i="1"/>
  <c r="F195" i="1"/>
  <c r="E195" i="1"/>
  <c r="N186" i="1"/>
  <c r="M186" i="1"/>
  <c r="L186" i="1"/>
  <c r="K186" i="1"/>
  <c r="J186" i="1"/>
  <c r="I186" i="1"/>
  <c r="H186" i="1"/>
  <c r="G186" i="1"/>
  <c r="F186" i="1"/>
  <c r="E186" i="1"/>
  <c r="N177" i="1"/>
  <c r="M177" i="1"/>
  <c r="L177" i="1"/>
  <c r="K177" i="1"/>
  <c r="J177" i="1"/>
  <c r="I177" i="1"/>
  <c r="H177" i="1"/>
  <c r="G177" i="1"/>
  <c r="F177" i="1"/>
  <c r="E177" i="1"/>
  <c r="N168" i="1"/>
  <c r="M168" i="1"/>
  <c r="L168" i="1"/>
  <c r="K168" i="1"/>
  <c r="J168" i="1"/>
  <c r="I168" i="1"/>
  <c r="H168" i="1"/>
  <c r="G168" i="1"/>
  <c r="F168" i="1"/>
  <c r="E168" i="1"/>
  <c r="N159" i="1"/>
  <c r="M159" i="1"/>
  <c r="L159" i="1"/>
  <c r="K159" i="1"/>
  <c r="J159" i="1"/>
  <c r="I159" i="1"/>
  <c r="H159" i="1"/>
  <c r="G159" i="1"/>
  <c r="F159" i="1"/>
  <c r="E159" i="1"/>
  <c r="N150" i="1"/>
  <c r="M150" i="1"/>
  <c r="L150" i="1"/>
  <c r="K150" i="1"/>
  <c r="J150" i="1"/>
  <c r="I150" i="1"/>
  <c r="H150" i="1"/>
  <c r="G150" i="1"/>
  <c r="F150" i="1"/>
  <c r="E150" i="1"/>
  <c r="N141" i="1"/>
  <c r="M141" i="1"/>
  <c r="L141" i="1"/>
  <c r="K141" i="1"/>
  <c r="J141" i="1"/>
  <c r="I141" i="1"/>
  <c r="H141" i="1"/>
  <c r="G141" i="1"/>
  <c r="F141" i="1"/>
  <c r="E141" i="1"/>
  <c r="N132" i="1"/>
  <c r="M132" i="1"/>
  <c r="L132" i="1"/>
  <c r="K132" i="1"/>
  <c r="J132" i="1"/>
  <c r="I132" i="1"/>
  <c r="H132" i="1"/>
  <c r="G132" i="1"/>
  <c r="F132" i="1"/>
  <c r="E132" i="1"/>
  <c r="N123" i="1"/>
  <c r="M123" i="1"/>
  <c r="L123" i="1"/>
  <c r="K123" i="1"/>
  <c r="J123" i="1"/>
  <c r="I123" i="1"/>
  <c r="H123" i="1"/>
  <c r="G123" i="1"/>
  <c r="F123" i="1"/>
  <c r="E123" i="1"/>
  <c r="N114" i="1"/>
  <c r="M114" i="1"/>
  <c r="L114" i="1"/>
  <c r="K114" i="1"/>
  <c r="J114" i="1"/>
  <c r="I114" i="1"/>
  <c r="H114" i="1"/>
  <c r="G114" i="1"/>
  <c r="F114" i="1"/>
  <c r="E114" i="1"/>
  <c r="N105" i="1"/>
  <c r="M105" i="1"/>
  <c r="L105" i="1"/>
  <c r="K105" i="1"/>
  <c r="J105" i="1"/>
  <c r="I105" i="1"/>
  <c r="H105" i="1"/>
  <c r="G105" i="1"/>
  <c r="F105" i="1"/>
  <c r="E105" i="1"/>
  <c r="N96" i="1"/>
  <c r="M96" i="1"/>
  <c r="L96" i="1"/>
  <c r="K96" i="1"/>
  <c r="J96" i="1"/>
  <c r="I96" i="1"/>
  <c r="H96" i="1"/>
  <c r="G96" i="1"/>
  <c r="F96" i="1"/>
  <c r="E96" i="1"/>
  <c r="N87" i="1"/>
  <c r="M87" i="1"/>
  <c r="L87" i="1"/>
  <c r="K87" i="1"/>
  <c r="J87" i="1"/>
  <c r="I87" i="1"/>
  <c r="H87" i="1"/>
  <c r="G87" i="1"/>
  <c r="F87" i="1"/>
  <c r="E87" i="1"/>
  <c r="N78" i="1"/>
  <c r="M78" i="1"/>
  <c r="L78" i="1"/>
  <c r="K78" i="1"/>
  <c r="J78" i="1"/>
  <c r="I78" i="1"/>
  <c r="H78" i="1"/>
  <c r="G78" i="1"/>
  <c r="F78" i="1"/>
  <c r="E78" i="1"/>
  <c r="N69" i="1"/>
  <c r="M69" i="1"/>
  <c r="L69" i="1"/>
  <c r="K69" i="1"/>
  <c r="J69" i="1"/>
  <c r="I69" i="1"/>
  <c r="H69" i="1"/>
  <c r="G69" i="1"/>
  <c r="F69" i="1"/>
  <c r="E69" i="1"/>
  <c r="N60" i="1"/>
  <c r="M60" i="1"/>
  <c r="L60" i="1"/>
  <c r="K60" i="1"/>
  <c r="J60" i="1"/>
  <c r="I60" i="1"/>
  <c r="H60" i="1"/>
  <c r="G60" i="1"/>
  <c r="F60" i="1"/>
  <c r="E60" i="1"/>
  <c r="N51" i="1"/>
  <c r="M51" i="1"/>
  <c r="L51" i="1"/>
  <c r="K51" i="1"/>
  <c r="J51" i="1"/>
  <c r="I51" i="1"/>
  <c r="H51" i="1"/>
  <c r="G51" i="1"/>
  <c r="F51" i="1"/>
  <c r="E51" i="1"/>
  <c r="N42" i="1"/>
  <c r="M42" i="1"/>
  <c r="L42" i="1"/>
  <c r="K42" i="1"/>
  <c r="J42" i="1"/>
  <c r="I42" i="1"/>
  <c r="H42" i="1"/>
  <c r="G42" i="1"/>
  <c r="F42" i="1"/>
  <c r="E42" i="1"/>
  <c r="N33" i="1"/>
  <c r="M33" i="1"/>
  <c r="L33" i="1"/>
  <c r="K33" i="1"/>
  <c r="J33" i="1"/>
  <c r="I33" i="1"/>
  <c r="H33" i="1"/>
  <c r="G33" i="1"/>
  <c r="F33" i="1"/>
  <c r="E33" i="1"/>
  <c r="N24" i="1"/>
  <c r="M24" i="1"/>
  <c r="L24" i="1"/>
  <c r="K24" i="1"/>
  <c r="J24" i="1"/>
  <c r="I24" i="1"/>
  <c r="H24" i="1"/>
  <c r="G24" i="1"/>
  <c r="F24" i="1"/>
  <c r="E24" i="1"/>
  <c r="N15" i="1"/>
  <c r="M15" i="1"/>
  <c r="L15" i="1"/>
  <c r="K15" i="1"/>
  <c r="J15" i="1"/>
  <c r="I15" i="1"/>
  <c r="H15" i="1"/>
  <c r="G15" i="1"/>
  <c r="F15" i="1"/>
  <c r="E15" i="1"/>
</calcChain>
</file>

<file path=xl/sharedStrings.xml><?xml version="1.0" encoding="utf-8"?>
<sst xmlns="http://schemas.openxmlformats.org/spreadsheetml/2006/main" count="2012" uniqueCount="277">
  <si>
    <r>
      <t>《</t>
    </r>
    <r>
      <rPr>
        <b/>
        <sz val="10"/>
        <color rgb="FFFF0000"/>
        <rFont val="微软雅黑 Light"/>
        <charset val="134"/>
      </rPr>
      <t>BE12</t>
    </r>
    <r>
      <rPr>
        <b/>
        <sz val="10"/>
        <color theme="1"/>
        <rFont val="微软雅黑 Light"/>
        <charset val="134"/>
      </rPr>
      <t>平台</t>
    </r>
    <r>
      <rPr>
        <b/>
        <sz val="10"/>
        <color rgb="FFFF0000"/>
        <rFont val="微软雅黑 Light"/>
        <charset val="134"/>
      </rPr>
      <t>ICC</t>
    </r>
    <r>
      <rPr>
        <b/>
        <sz val="10"/>
        <color theme="1"/>
        <rFont val="微软雅黑 Light"/>
        <charset val="134"/>
      </rPr>
      <t>配置码表》</t>
    </r>
  </si>
  <si>
    <t>产品配置</t>
  </si>
  <si>
    <t>N80KS</t>
  </si>
  <si>
    <t>备注（黄色8155，蓝色8775)</t>
    <phoneticPr fontId="7" type="noConversion"/>
  </si>
  <si>
    <t>配置级别</t>
  </si>
  <si>
    <t>Air-舒享版</t>
  </si>
  <si>
    <t>Air-舒享版+选装包1</t>
  </si>
  <si>
    <t>Pro-尊享版</t>
  </si>
  <si>
    <t>Pro-尊享版+选择包2</t>
  </si>
  <si>
    <t>Pro-长续航尊享版</t>
  </si>
  <si>
    <t>Pro+长续航尊享版+选装包3</t>
  </si>
  <si>
    <t>Pro+长续航尊享版+选装包4</t>
  </si>
  <si>
    <t>Pro+长续航尊享版+选装包3+选装包4</t>
  </si>
  <si>
    <t>MAX+长续航臻享版</t>
  </si>
  <si>
    <t>MAX+长续航臻享版+选装包5</t>
  </si>
  <si>
    <t>DID</t>
  </si>
  <si>
    <t>位置</t>
  </si>
  <si>
    <t>配置项</t>
  </si>
  <si>
    <t>配置项值</t>
  </si>
  <si>
    <t>配置项名称</t>
  </si>
  <si>
    <t>物理值定义</t>
  </si>
  <si>
    <t>0xF1A1</t>
  </si>
  <si>
    <t>Bit0</t>
  </si>
  <si>
    <t>Vehicle Variant
车型配置</t>
  </si>
  <si>
    <t>0x0=N80KS;
0x1~0xF=reserved；</t>
  </si>
  <si>
    <t>0</t>
  </si>
  <si>
    <t>Bit1</t>
  </si>
  <si>
    <t>Bit2</t>
  </si>
  <si>
    <t>Bit3</t>
  </si>
  <si>
    <t>Bit4</t>
  </si>
  <si>
    <t>Language
默认语言</t>
  </si>
  <si>
    <t>0x0=Chinese（default）；
0x1=English；
0x2=Arab；
0x3=Spanish；
0x4=Russia；
0x5~0xF=reserved。</t>
  </si>
  <si>
    <t>Bit5</t>
  </si>
  <si>
    <t>Bit6</t>
  </si>
  <si>
    <t>Bit7</t>
  </si>
  <si>
    <t>原生系统使用</t>
  </si>
  <si>
    <t>Byte0（hex）</t>
  </si>
  <si>
    <t>倒车影像配置</t>
  </si>
  <si>
    <t>0x0=Not Featured（default）；
0x1=RVC；
0x2=AVM；
0x3=APA；</t>
  </si>
  <si>
    <t>2</t>
  </si>
  <si>
    <t>3</t>
  </si>
  <si>
    <t>1.所有应用界面拉起应用和图标显示
2.仪表判断单舱ICC内置AVM
3.负一屏或dock拉起应用和功能按钮
4.车设多功能方控按键
5.语音</t>
  </si>
  <si>
    <t>Radar configure 
泊车雷达配置</t>
  </si>
  <si>
    <t>0x0=Not radars（reserved）；
0x1=3 Rear radars；
0x2=4 Rear radars（default）；
0x3=4 Front and 4 Rear radars（reserved）；
0x4=6 Front and 6 Rear radars；
0x5~0x7=reserved</t>
  </si>
  <si>
    <t>4</t>
  </si>
  <si>
    <t>1.车设前雷达开关
2.负一屏和dock栏前雷达功能开关
3.仪表雷达报警和车模显示
4.泊车</t>
  </si>
  <si>
    <t>透明底盘</t>
  </si>
  <si>
    <t>0x0=Not Featured
0x1=Featured (default)</t>
  </si>
  <si>
    <t>1</t>
  </si>
  <si>
    <t>1.仪表
2.泊车</t>
  </si>
  <si>
    <t>1.泊车
2.语音</t>
  </si>
  <si>
    <t>reserved</t>
  </si>
  <si>
    <r>
      <t>Byte1</t>
    </r>
    <r>
      <rPr>
        <b/>
        <sz val="10"/>
        <color theme="1"/>
        <rFont val="微软雅黑 Light"/>
        <charset val="134"/>
      </rPr>
      <t>（hex）</t>
    </r>
  </si>
  <si>
    <t>启停式自适应智能巡航系统（ACC）</t>
  </si>
  <si>
    <t>0x0=Not Featured (default)
0x1=Featured</t>
  </si>
  <si>
    <t>车道线功能跟随此配置字
1.车设功能
2.systemui功能
3.仪表功能</t>
  </si>
  <si>
    <t>智能巡航辅助
（TJA/ICA）</t>
  </si>
  <si>
    <t>1.车设功能
2.systemui功能
3.仪表功能</t>
  </si>
  <si>
    <t>智慧礼让
（SLKA）</t>
  </si>
  <si>
    <t>功能需要确认
1.仪表功能</t>
  </si>
  <si>
    <t>智能限速
（ASL）</t>
  </si>
  <si>
    <t>前碰撞预警
（FCW）</t>
  </si>
  <si>
    <t>PCW功能同配置字
1.车设功能
2.systemui功能
3.仪表功能</t>
  </si>
  <si>
    <t>自动紧急制动
（AEB）</t>
  </si>
  <si>
    <t>车道辅助
（LKA）</t>
  </si>
  <si>
    <t>LDW同配置字
1.车设功能
2.systemui功能
3.仪表功能</t>
  </si>
  <si>
    <t>紧急车道保持
（ELK）</t>
  </si>
  <si>
    <r>
      <t>Byte2</t>
    </r>
    <r>
      <rPr>
        <b/>
        <sz val="10"/>
        <color theme="1"/>
        <rFont val="微软雅黑 Light"/>
        <charset val="134"/>
      </rPr>
      <t>（hex）</t>
    </r>
  </si>
  <si>
    <t>限速标示识别
（SLA）</t>
  </si>
  <si>
    <t>交通标示识别
（TSI/TSR）</t>
  </si>
  <si>
    <t>交通灯识别
（TLA）</t>
  </si>
  <si>
    <t>智能远光灯
（HMA）</t>
  </si>
  <si>
    <t>低速动态物体识别
（MOD）</t>
  </si>
  <si>
    <t>1.车设功能
2.systemui功能</t>
  </si>
  <si>
    <r>
      <t>Byte3</t>
    </r>
    <r>
      <rPr>
        <sz val="10"/>
        <color theme="1"/>
        <rFont val="微软雅黑 Light"/>
        <charset val="134"/>
      </rPr>
      <t>（hex）</t>
    </r>
  </si>
  <si>
    <t>盲区监测
（BSD_LCA）</t>
  </si>
  <si>
    <t>开门预警
（DOW）</t>
  </si>
  <si>
    <t>0x0=Not Featured (default)
0x1=APA配置
0x2=CMRR配置
0x3=reserved</t>
  </si>
  <si>
    <t>后方横向穿行预警
（RCTA）</t>
  </si>
  <si>
    <t>后方横向穿行制动
（RCTB）</t>
  </si>
  <si>
    <t>后碰撞预警
（RCW）</t>
  </si>
  <si>
    <r>
      <t>Byte4</t>
    </r>
    <r>
      <rPr>
        <sz val="10"/>
        <color theme="1"/>
        <rFont val="微软雅黑 Light"/>
        <charset val="134"/>
      </rPr>
      <t>（hex）</t>
    </r>
  </si>
  <si>
    <t>空调分区</t>
  </si>
  <si>
    <t>0x0=单区空调
0x1=双区空调
0x2=三区空调
0x3=四区空调</t>
  </si>
  <si>
    <t>空调功能</t>
  </si>
  <si>
    <t>预通风功能</t>
  </si>
  <si>
    <t>暂离模式功能</t>
  </si>
  <si>
    <t>一键清凉</t>
  </si>
  <si>
    <t>一键加热</t>
  </si>
  <si>
    <t>室外温度显示</t>
  </si>
  <si>
    <t>1.空调功能
2.仪表功能</t>
  </si>
  <si>
    <t>空调模式</t>
  </si>
  <si>
    <t>0x0=电动空调
0x1=自动空调</t>
  </si>
  <si>
    <r>
      <t>Byte5</t>
    </r>
    <r>
      <rPr>
        <sz val="10"/>
        <color theme="1"/>
        <rFont val="微软雅黑 Light"/>
        <charset val="134"/>
      </rPr>
      <t>（hex）</t>
    </r>
  </si>
  <si>
    <t>ICC内音效类型</t>
  </si>
  <si>
    <t>0x0=非品牌音效；
0x1=品牌音效</t>
  </si>
  <si>
    <t>不需要关注</t>
  </si>
  <si>
    <t>虚拟形象</t>
  </si>
  <si>
    <t>显示屏尺寸</t>
  </si>
  <si>
    <t>0x0=10.1 inch
0x1=14.6 inch
0x2=15.6 inch
0x3=reserved</t>
  </si>
  <si>
    <t>语音分区</t>
  </si>
  <si>
    <t>TBOX</t>
  </si>
  <si>
    <r>
      <t>Byte6</t>
    </r>
    <r>
      <rPr>
        <sz val="10"/>
        <color theme="1"/>
        <rFont val="微软雅黑 Light"/>
        <charset val="134"/>
      </rPr>
      <t>（hex）</t>
    </r>
  </si>
  <si>
    <t>行车记录仪</t>
  </si>
  <si>
    <t>1.车设功能
2.所有应用
3.systemui
4.权限管理-车机管家</t>
  </si>
  <si>
    <t>DMS摄像头</t>
  </si>
  <si>
    <t>蓝牙钥匙自动登录账户</t>
  </si>
  <si>
    <t>1.账户中心（不需要关注）</t>
  </si>
  <si>
    <t>NFC卡</t>
  </si>
  <si>
    <t>应用市场</t>
  </si>
  <si>
    <t>6</t>
  </si>
  <si>
    <t>7</t>
  </si>
  <si>
    <t>车外扬声器</t>
  </si>
  <si>
    <t>0x0=Not Featured (default)；
0x1=行人警示器
0x2=行人警示器+个性喇叭；
0x3=reserved</t>
  </si>
  <si>
    <t>不需要关注
1车设功能
2.ADSP配置
3.主页</t>
  </si>
  <si>
    <t>在线音频</t>
  </si>
  <si>
    <t>1.媒体
2.车设听歌识曲</t>
  </si>
  <si>
    <r>
      <t>Byte7</t>
    </r>
    <r>
      <rPr>
        <sz val="10"/>
        <color theme="1"/>
        <rFont val="微软雅黑 Light"/>
        <charset val="134"/>
      </rPr>
      <t>（hex）</t>
    </r>
  </si>
  <si>
    <t>宝宝安睡模式</t>
  </si>
  <si>
    <t>1.情景模式
2.负一屏
3.所有应用</t>
  </si>
  <si>
    <t>主副驾小憩模式</t>
  </si>
  <si>
    <t>冥想模式</t>
  </si>
  <si>
    <t>通勤模式</t>
  </si>
  <si>
    <t>提神模式</t>
  </si>
  <si>
    <t>通风模式</t>
  </si>
  <si>
    <t>露营模式</t>
  </si>
  <si>
    <t>里程惊喜模式</t>
  </si>
  <si>
    <r>
      <t>Byte8</t>
    </r>
    <r>
      <rPr>
        <sz val="10"/>
        <color theme="1"/>
        <rFont val="微软雅黑 Light"/>
        <charset val="134"/>
      </rPr>
      <t>（hex）</t>
    </r>
  </si>
  <si>
    <t>默认收音制式</t>
  </si>
  <si>
    <t>0x0=日本；
0x1=美洲1；
0x2=美洲2；
0x3=亚洲（东南亚除外）/非洲；
0x4=东南亚；
0x5=澳大利亚；
0x6=欧洲（FM/AM）；
0x7=欧洲（有LW）;
0x8=欧洲(有OIRT)；
0x9=欧洲(有OIRT/LW）;
0xA=无收音机
0xB~0xF=reserved</t>
  </si>
  <si>
    <t>收音机（标配不需要关注）</t>
  </si>
  <si>
    <t>扬声器数量</t>
  </si>
  <si>
    <t>1.ADSP
2.车设
3.device
4.audioDspService
5.MCU</t>
  </si>
  <si>
    <t>功放类型</t>
  </si>
  <si>
    <t>0x0=内置功放；
0x1=外置功放</t>
  </si>
  <si>
    <r>
      <t>Byte9</t>
    </r>
    <r>
      <rPr>
        <sz val="10"/>
        <color theme="1"/>
        <rFont val="微软雅黑 Light"/>
        <charset val="134"/>
      </rPr>
      <t>（hex）</t>
    </r>
  </si>
  <si>
    <t>智能场景模式</t>
  </si>
  <si>
    <t>四门一键升窗</t>
  </si>
  <si>
    <t>标配不需要关注
1.车设
2.语音</t>
  </si>
  <si>
    <t>大灯仪式感，灯语</t>
  </si>
  <si>
    <t>标配不需要关注</t>
  </si>
  <si>
    <t>后视镜折叠</t>
  </si>
  <si>
    <t>1.车设
2.语音
3.负一屏
4.dock栏</t>
  </si>
  <si>
    <t>后视镜记忆</t>
  </si>
  <si>
    <t>1.车设
2.语音
3.负一屏
4.dock栏
5.空调座椅
6.系统弹窗
7.用户中心</t>
  </si>
  <si>
    <t>电动遮阳帘</t>
  </si>
  <si>
    <t>电动尾门</t>
  </si>
  <si>
    <t>前风挡加热</t>
  </si>
  <si>
    <r>
      <t>Byte10</t>
    </r>
    <r>
      <rPr>
        <sz val="10"/>
        <color theme="1"/>
        <rFont val="微软雅黑 Light"/>
        <charset val="134"/>
      </rPr>
      <t>（hex）</t>
    </r>
  </si>
  <si>
    <t>左前座椅记忆</t>
  </si>
  <si>
    <t>1.空调座椅
2.弹窗
3.语音
4.车设</t>
  </si>
  <si>
    <t>右前座椅记忆</t>
  </si>
  <si>
    <t>第二排-左座椅记忆</t>
  </si>
  <si>
    <t>第二排-右座椅记忆</t>
  </si>
  <si>
    <t>第三排座椅前后滑动（电动）</t>
  </si>
  <si>
    <t>1</t>
    <phoneticPr fontId="7" type="noConversion"/>
  </si>
  <si>
    <t>0</t>
    <phoneticPr fontId="7" type="noConversion"/>
  </si>
  <si>
    <t>1、空调
2、语音</t>
  </si>
  <si>
    <r>
      <t>Byte11</t>
    </r>
    <r>
      <rPr>
        <sz val="10"/>
        <color theme="1"/>
        <rFont val="微软雅黑 Light"/>
        <charset val="134"/>
      </rPr>
      <t>（hex）</t>
    </r>
  </si>
  <si>
    <t>智能进入软开关
（无钥匙进入）</t>
  </si>
  <si>
    <t>1.负一屏
2.语音
3.车设</t>
  </si>
  <si>
    <t>电动尾门智能进入软开关</t>
  </si>
  <si>
    <t>0x0=Not Featured (default)
0x1=Featured</t>
    <phoneticPr fontId="7" type="noConversion"/>
  </si>
  <si>
    <t>大灯自动启闭</t>
    <phoneticPr fontId="7" type="noConversion"/>
  </si>
  <si>
    <t>1、车控车设
2、语音</t>
  </si>
  <si>
    <t>外后视镜加热</t>
    <phoneticPr fontId="7" type="noConversion"/>
  </si>
  <si>
    <t>氛围灯</t>
  </si>
  <si>
    <t>1.负一屏
2.语音
3.车设
4.情景模式
5.多媒体</t>
  </si>
  <si>
    <t>方向盘加热</t>
  </si>
  <si>
    <t>1.空调
2.负一屏
3.语音</t>
  </si>
  <si>
    <t>车载冰箱</t>
  </si>
  <si>
    <t>1.车设
2.负一屏
3.语音</t>
  </si>
  <si>
    <t>蓄电池传感器类型</t>
  </si>
  <si>
    <t>0x0=LBMS（default）
0x1=IBS</t>
  </si>
  <si>
    <t>1.仪表</t>
  </si>
  <si>
    <r>
      <t>Byte12</t>
    </r>
    <r>
      <rPr>
        <sz val="10"/>
        <color theme="1"/>
        <rFont val="微软雅黑 Light"/>
        <charset val="134"/>
      </rPr>
      <t>（hex）</t>
    </r>
  </si>
  <si>
    <t>驱动模式</t>
  </si>
  <si>
    <t>0x0=纯电
0x1=混动</t>
  </si>
  <si>
    <t>定速巡航</t>
  </si>
  <si>
    <t>1.仪表
2.车设
3.负一屏
4.语音</t>
  </si>
  <si>
    <t>胎压监测方式</t>
  </si>
  <si>
    <t>0x0=间接式胎压监测；
0x1=直接式胎压监测；</t>
  </si>
  <si>
    <t>轮胎尺寸</t>
  </si>
  <si>
    <t xml:space="preserve">0x0=17寸
0x1=18寸
0x2=19寸
0x3=20寸
</t>
    <phoneticPr fontId="7" type="noConversion"/>
  </si>
  <si>
    <t>强制超速报警</t>
  </si>
  <si>
    <t>雨量感应雨刮</t>
    <phoneticPr fontId="7" type="noConversion"/>
  </si>
  <si>
    <t>1、车控车设
2、语音</t>
    <phoneticPr fontId="7" type="noConversion"/>
  </si>
  <si>
    <r>
      <t>Byte13</t>
    </r>
    <r>
      <rPr>
        <sz val="10"/>
        <color theme="1"/>
        <rFont val="微软雅黑 Light"/>
        <charset val="134"/>
      </rPr>
      <t>（hex）</t>
    </r>
  </si>
  <si>
    <t>one-pedal模式</t>
  </si>
  <si>
    <t>经济驾驶模式</t>
  </si>
  <si>
    <t>运动驾驶模式</t>
  </si>
  <si>
    <t>舒适驾驶模式</t>
  </si>
  <si>
    <t>极致节能驾驶模式</t>
  </si>
  <si>
    <t>湿滑路面驾驶模式</t>
  </si>
  <si>
    <t>自适应驾驶模式</t>
  </si>
  <si>
    <t>个性化驾驶模式</t>
  </si>
  <si>
    <r>
      <t>Byte14</t>
    </r>
    <r>
      <rPr>
        <sz val="10"/>
        <color theme="1"/>
        <rFont val="微软雅黑 Light"/>
        <charset val="134"/>
      </rPr>
      <t>（hex）</t>
    </r>
  </si>
  <si>
    <t>Carplay</t>
  </si>
  <si>
    <t>Android Auto</t>
  </si>
  <si>
    <t>亿联</t>
  </si>
  <si>
    <t>Carlink</t>
  </si>
  <si>
    <t>标配不需要关注
1.所有应用
2.设置连接</t>
  </si>
  <si>
    <t>HiCar</t>
  </si>
  <si>
    <t>AQS空气质量检测</t>
    <phoneticPr fontId="7" type="noConversion"/>
  </si>
  <si>
    <t>车内PM2.5状态显示</t>
  </si>
  <si>
    <t>1、空调
2、Dock栏
3、语音</t>
  </si>
  <si>
    <t>水离子</t>
  </si>
  <si>
    <t>1、空调
2、语音</t>
    <phoneticPr fontId="7" type="noConversion"/>
  </si>
  <si>
    <r>
      <t>Byte15</t>
    </r>
    <r>
      <rPr>
        <sz val="10"/>
        <color theme="1"/>
        <rFont val="微软雅黑 Light"/>
        <charset val="134"/>
      </rPr>
      <t>（hex）</t>
    </r>
  </si>
  <si>
    <t>左前座椅加热</t>
  </si>
  <si>
    <t>1.空调
2.语音
3.负一屏
4.dock栏</t>
  </si>
  <si>
    <t>右前座椅加热</t>
  </si>
  <si>
    <t>1.空调
2.语音
3.负一屏
5.dock栏</t>
  </si>
  <si>
    <t>第二排-左座椅加热</t>
  </si>
  <si>
    <t>第二排-右座椅加热</t>
  </si>
  <si>
    <t>第三排-左座椅加热</t>
  </si>
  <si>
    <t>第三排-右座椅加热</t>
  </si>
  <si>
    <r>
      <t>Byte16</t>
    </r>
    <r>
      <rPr>
        <sz val="10"/>
        <color theme="1"/>
        <rFont val="微软雅黑 Light"/>
        <charset val="134"/>
      </rPr>
      <t>（hex）</t>
    </r>
  </si>
  <si>
    <t>左前座椅通风</t>
  </si>
  <si>
    <t>右前座椅通风</t>
  </si>
  <si>
    <t>1.空调
2.语音
3.负一屏
6.dock栏</t>
  </si>
  <si>
    <t>第二排-左座椅通风</t>
  </si>
  <si>
    <t>1.空调
2.语音
3.负一屏
7.dock栏</t>
  </si>
  <si>
    <t>第二排-右座椅通风</t>
  </si>
  <si>
    <t>1.空调
2.语音
3.负一屏
8.dock栏</t>
  </si>
  <si>
    <t>第三排-左座椅通风</t>
  </si>
  <si>
    <t>1.空调
2.语音
3.负一屏
9.dock栏</t>
  </si>
  <si>
    <t>第三排-右座椅通风</t>
  </si>
  <si>
    <t>1.空调
2.语音
3.负一屏
10.dock栏</t>
  </si>
  <si>
    <r>
      <t>Byte17</t>
    </r>
    <r>
      <rPr>
        <sz val="10"/>
        <color theme="1"/>
        <rFont val="微软雅黑 Light"/>
        <charset val="134"/>
      </rPr>
      <t>（hex）</t>
    </r>
  </si>
  <si>
    <t>座椅按摩点位是否会影响UI贴图
1.空调
2.语音
3.负一屏
10.dock栏</t>
  </si>
  <si>
    <t>第二排-左座椅按摩</t>
  </si>
  <si>
    <t>第二排-右座椅按摩</t>
  </si>
  <si>
    <r>
      <t>Byte18</t>
    </r>
    <r>
      <rPr>
        <sz val="10"/>
        <color theme="1"/>
        <rFont val="微软雅黑 Light"/>
        <charset val="134"/>
      </rPr>
      <t>（hex）</t>
    </r>
  </si>
  <si>
    <t>中控屏幕厂家</t>
  </si>
  <si>
    <t>0x0=北斗 (default)
0x1=哈曼
0x2-0x3=reserved</t>
  </si>
  <si>
    <t>吸顶屏尺寸</t>
  </si>
  <si>
    <t>0x0=Not Featured (default)
0x1=21.4inch
0x2-0x3=reserved</t>
  </si>
  <si>
    <t>哨兵模式</t>
  </si>
  <si>
    <t>1.哨兵功能
2.MCU
3.QNX</t>
  </si>
  <si>
    <t>人脸识别</t>
    <phoneticPr fontId="7" type="noConversion"/>
  </si>
  <si>
    <t>1、车控车设
2、语音
3、个人中心</t>
    <phoneticPr fontId="7" type="noConversion"/>
  </si>
  <si>
    <r>
      <t>Byte19</t>
    </r>
    <r>
      <rPr>
        <sz val="10"/>
        <color theme="1"/>
        <rFont val="微软雅黑 Light"/>
        <charset val="134"/>
      </rPr>
      <t>（hex）</t>
    </r>
  </si>
  <si>
    <t>前排无线充电</t>
  </si>
  <si>
    <t>1.车设
2.语音
3.负一屏
4.状态里</t>
  </si>
  <si>
    <t>第二排无线充电</t>
  </si>
  <si>
    <t>0x0=无第二排无线充电 (default)
0x1=第二排单无线充电
0x2=第二排双无线充电
0x3=reserved</t>
  </si>
  <si>
    <t>前排头枕音响</t>
  </si>
  <si>
    <t>0x0=无前排头枕音响 (default)
0x1=主驾头枕音响
0x2=主/副驾头枕音响
0x3=reserved</t>
  </si>
  <si>
    <t>1.ADSP
2.车设
3.语音
4.audioDspService
5.MCU</t>
  </si>
  <si>
    <t>第二排-左侧头枕音响</t>
  </si>
  <si>
    <t>0x0=Featured (default)
0x1=Not Featured</t>
  </si>
  <si>
    <t>第二排-右侧头枕音响</t>
  </si>
  <si>
    <r>
      <t>Byte20</t>
    </r>
    <r>
      <rPr>
        <sz val="10"/>
        <color theme="1"/>
        <rFont val="微软雅黑 Light"/>
        <charset val="134"/>
      </rPr>
      <t>（hex）</t>
    </r>
  </si>
  <si>
    <t>第二排-左侧零重力座椅</t>
  </si>
  <si>
    <t>第二排-右侧零重力座椅</t>
  </si>
  <si>
    <r>
      <t>Byte21</t>
    </r>
    <r>
      <rPr>
        <sz val="10"/>
        <color theme="1"/>
        <rFont val="微软雅黑 Light"/>
        <charset val="134"/>
      </rPr>
      <t>（hex）</t>
    </r>
  </si>
  <si>
    <r>
      <t>Byte22</t>
    </r>
    <r>
      <rPr>
        <sz val="10"/>
        <color theme="1"/>
        <rFont val="微软雅黑 Light"/>
        <charset val="134"/>
      </rPr>
      <t>（hex）</t>
    </r>
  </si>
  <si>
    <t>中英文选项</t>
  </si>
  <si>
    <t>安全气囊屏蔽</t>
  </si>
  <si>
    <r>
      <t>Byte23</t>
    </r>
    <r>
      <rPr>
        <sz val="10"/>
        <color theme="1"/>
        <rFont val="微软雅黑 Light"/>
        <charset val="134"/>
      </rPr>
      <t>（hex）</t>
    </r>
  </si>
  <si>
    <t>自动泊车辅助</t>
    <phoneticPr fontId="4" type="noConversion"/>
  </si>
  <si>
    <t>1</t>
    <phoneticPr fontId="4" type="noConversion"/>
  </si>
  <si>
    <t>智能限速提醒（ISA）</t>
    <phoneticPr fontId="4" type="noConversion"/>
  </si>
  <si>
    <t>0x0=4 speakers
0x1=6 speakers
0x2=8 speakers
0x3=10 speakers
0x4=12 speakers
0x5=2 Speakers
0x6=16 speakers
0x7=20 speakers</t>
    <phoneticPr fontId="4" type="noConversion"/>
  </si>
  <si>
    <t>前排座椅按摩点位</t>
    <phoneticPr fontId="4" type="noConversion"/>
  </si>
  <si>
    <t>二排座椅按摩点位</t>
    <phoneticPr fontId="4" type="noConversion"/>
  </si>
  <si>
    <t>0x0=Not Featured (default)
0x1=Featured</t>
    <phoneticPr fontId="4" type="noConversion"/>
  </si>
  <si>
    <t>0x0=无前排无线充电 (default)
0x1=前排单无线充电
0x2=前排双无线充电
0x3=reserved</t>
    <phoneticPr fontId="4" type="noConversion"/>
  </si>
  <si>
    <t>0x0=无前排座椅按摩 (default)
0x1=前排座椅10点按摩
0x2=前排座椅16点按摩
0x3=reserved</t>
    <phoneticPr fontId="4" type="noConversion"/>
  </si>
  <si>
    <t>0x0=无二排座椅按摩 (default)
0x1=二座椅10点按摩
0x2=二座椅16点按摩
0x3=reserved</t>
    <phoneticPr fontId="4" type="noConversion"/>
  </si>
  <si>
    <t>2</t>
    <phoneticPr fontId="4" type="noConversion"/>
  </si>
  <si>
    <t>0</t>
    <phoneticPr fontId="4" type="noConversion"/>
  </si>
  <si>
    <t>主驾座椅按摩</t>
    <phoneticPr fontId="4" type="noConversion"/>
  </si>
  <si>
    <t>副驾座椅按摩</t>
    <phoneticPr fontId="4" type="noConversion"/>
  </si>
  <si>
    <t>0x0=无语音功能
0x1=无分区
0x2=双分区
0x3=四分区
0x4=六分区
0x5~0x7=reserved</t>
    <phoneticPr fontId="4" type="noConversion"/>
  </si>
  <si>
    <t>悬架软硬调节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</si>
</sst>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[$-41D]d\ mmmm\ /yy;@"/>
    <numFmt numFmtId="177" formatCode="[$-409]d\-mmm\-yy;@"/>
    <numFmt numFmtId="178" formatCode="00"/>
  </numFmts>
  <fonts count="20"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b/>
      <sz val="10"/>
      <color theme="1"/>
      <name val="微软雅黑 Light"/>
      <charset val="134"/>
    </font>
    <font>
      <b/>
      <sz val="10"/>
      <color rgb="FFFF0000"/>
      <name val="微软雅黑 Light"/>
      <charset val="134"/>
    </font>
    <font>
      <sz val="9"/>
      <name val="宋体"/>
      <family val="2"/>
      <charset val="134"/>
      <scheme val="minor"/>
    </font>
    <font>
      <sz val="10"/>
      <color rgb="FF000000"/>
      <name val="微软雅黑 Light"/>
      <charset val="134"/>
    </font>
    <font>
      <b/>
      <sz val="10"/>
      <name val="微软雅黑 Light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theme="1"/>
      <name val="微软雅黑 Light"/>
      <charset val="134"/>
    </font>
    <font>
      <sz val="10"/>
      <color theme="1"/>
      <name val="微软雅黑 Light"/>
      <charset val="134"/>
    </font>
    <font>
      <sz val="8"/>
      <name val="MS Sans Serif"/>
      <family val="2"/>
    </font>
    <font>
      <sz val="10"/>
      <name val="微软雅黑 Light"/>
      <charset val="134"/>
    </font>
    <font>
      <b/>
      <sz val="12"/>
      <color theme="1"/>
      <name val="微软雅黑 Light"/>
      <charset val="134"/>
    </font>
    <font>
      <sz val="11"/>
      <color theme="1"/>
      <name val="宋体"/>
      <family val="3"/>
      <charset val="134"/>
      <scheme val="minor"/>
    </font>
    <font>
      <b/>
      <sz val="12"/>
      <name val="微软雅黑 Light"/>
      <charset val="134"/>
    </font>
    <font>
      <sz val="10"/>
      <color rgb="FFFF0000"/>
      <name val="微软雅黑 Light"/>
      <charset val="134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24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  <protection locked="0"/>
    </xf>
    <xf numFmtId="0" fontId="11" fillId="0" borderId="0" applyProtection="0">
      <alignment vertical="center"/>
    </xf>
    <xf numFmtId="177" fontId="14" fillId="0" borderId="0">
      <alignment vertical="center"/>
    </xf>
    <xf numFmtId="0" fontId="14" fillId="0" borderId="0"/>
    <xf numFmtId="177" fontId="11" fillId="0" borderId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7" fillId="0" borderId="0" applyProtection="0"/>
    <xf numFmtId="0" fontId="8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19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49" fontId="2" fillId="2" borderId="0" xfId="1" applyNumberFormat="1" applyFont="1" applyFill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176" fontId="9" fillId="3" borderId="7" xfId="2" applyNumberFormat="1" applyFont="1" applyFill="1" applyBorder="1" applyAlignment="1" applyProtection="1">
      <alignment horizontal="center" vertical="center" wrapText="1"/>
    </xf>
    <xf numFmtId="176" fontId="9" fillId="4" borderId="7" xfId="2" applyNumberFormat="1" applyFont="1" applyFill="1" applyBorder="1" applyAlignment="1" applyProtection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12" fillId="5" borderId="12" xfId="3" applyNumberFormat="1" applyFont="1" applyFill="1" applyBorder="1" applyAlignment="1" applyProtection="1">
      <alignment horizontal="center" vertical="center" wrapText="1"/>
      <protection locked="0"/>
    </xf>
    <xf numFmtId="49" fontId="5" fillId="0" borderId="7" xfId="1" applyNumberFormat="1" applyFont="1" applyBorder="1" applyAlignment="1">
      <alignment horizontal="center" vertical="center"/>
    </xf>
    <xf numFmtId="49" fontId="12" fillId="5" borderId="14" xfId="3" applyNumberFormat="1" applyFont="1" applyFill="1" applyBorder="1" applyAlignment="1" applyProtection="1">
      <alignment horizontal="center" vertical="center" wrapText="1"/>
      <protection locked="0"/>
    </xf>
    <xf numFmtId="178" fontId="15" fillId="4" borderId="19" xfId="4" applyNumberFormat="1" applyFont="1" applyFill="1" applyBorder="1" applyAlignment="1">
      <alignment horizontal="center" vertical="center"/>
    </xf>
    <xf numFmtId="178" fontId="15" fillId="4" borderId="7" xfId="4" applyNumberFormat="1" applyFont="1" applyFill="1" applyBorder="1" applyAlignment="1">
      <alignment horizontal="center" vertical="center"/>
    </xf>
    <xf numFmtId="178" fontId="15" fillId="4" borderId="20" xfId="4" applyNumberFormat="1" applyFont="1" applyFill="1" applyBorder="1" applyAlignment="1">
      <alignment horizontal="center" vertical="center"/>
    </xf>
    <xf numFmtId="178" fontId="15" fillId="4" borderId="1" xfId="4" applyNumberFormat="1" applyFont="1" applyFill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 wrapText="1"/>
    </xf>
    <xf numFmtId="49" fontId="12" fillId="5" borderId="7" xfId="3" applyNumberFormat="1" applyFont="1" applyFill="1" applyBorder="1" applyAlignment="1" applyProtection="1">
      <alignment horizontal="center" vertical="center" wrapText="1"/>
      <protection locked="0"/>
    </xf>
    <xf numFmtId="49" fontId="12" fillId="0" borderId="7" xfId="3" applyNumberFormat="1" applyFont="1" applyBorder="1" applyAlignment="1" applyProtection="1">
      <alignment horizontal="center" vertical="center" wrapText="1"/>
      <protection locked="0"/>
    </xf>
    <xf numFmtId="49" fontId="12" fillId="0" borderId="19" xfId="3" applyNumberFormat="1" applyFont="1" applyBorder="1" applyAlignment="1" applyProtection="1">
      <alignment horizontal="center" vertical="center" wrapText="1"/>
      <protection locked="0"/>
    </xf>
    <xf numFmtId="49" fontId="12" fillId="0" borderId="20" xfId="3" applyNumberFormat="1" applyFont="1" applyBorder="1" applyAlignment="1" applyProtection="1">
      <alignment horizontal="center" vertical="center" wrapText="1"/>
      <protection locked="0"/>
    </xf>
    <xf numFmtId="49" fontId="12" fillId="0" borderId="1" xfId="3" applyNumberFormat="1" applyFont="1" applyBorder="1" applyAlignment="1" applyProtection="1">
      <alignment horizontal="center" vertical="center" wrapText="1"/>
      <protection locked="0"/>
    </xf>
    <xf numFmtId="49" fontId="12" fillId="0" borderId="24" xfId="3" applyNumberFormat="1" applyFont="1" applyBorder="1" applyAlignment="1" applyProtection="1">
      <alignment horizontal="center" vertical="center" wrapText="1"/>
      <protection locked="0"/>
    </xf>
    <xf numFmtId="49" fontId="12" fillId="7" borderId="19" xfId="3" applyNumberFormat="1" applyFont="1" applyFill="1" applyBorder="1" applyAlignment="1" applyProtection="1">
      <alignment horizontal="center" vertical="center" wrapText="1"/>
      <protection locked="0"/>
    </xf>
    <xf numFmtId="49" fontId="12" fillId="7" borderId="7" xfId="3" applyNumberFormat="1" applyFont="1" applyFill="1" applyBorder="1" applyAlignment="1" applyProtection="1">
      <alignment horizontal="center" vertical="center" wrapText="1"/>
      <protection locked="0"/>
    </xf>
    <xf numFmtId="49" fontId="9" fillId="5" borderId="7" xfId="3" applyNumberFormat="1" applyFont="1" applyFill="1" applyBorder="1" applyAlignment="1" applyProtection="1">
      <alignment horizontal="center" vertical="center" wrapText="1"/>
      <protection locked="0"/>
    </xf>
    <xf numFmtId="0" fontId="9" fillId="5" borderId="14" xfId="5" applyFont="1" applyFill="1" applyBorder="1" applyAlignment="1">
      <alignment horizontal="center" vertical="center" wrapText="1"/>
    </xf>
    <xf numFmtId="49" fontId="10" fillId="6" borderId="7" xfId="1" applyNumberFormat="1" applyFont="1" applyFill="1" applyBorder="1" applyAlignment="1">
      <alignment horizontal="center" vertical="center" wrapText="1"/>
    </xf>
    <xf numFmtId="0" fontId="9" fillId="6" borderId="8" xfId="5" applyFont="1" applyFill="1" applyBorder="1" applyAlignment="1">
      <alignment horizontal="left" vertical="center" wrapText="1"/>
    </xf>
    <xf numFmtId="49" fontId="12" fillId="6" borderId="19" xfId="3" applyNumberFormat="1" applyFont="1" applyFill="1" applyBorder="1" applyAlignment="1" applyProtection="1">
      <alignment horizontal="center" vertical="center" wrapText="1"/>
      <protection locked="0"/>
    </xf>
    <xf numFmtId="49" fontId="5" fillId="6" borderId="7" xfId="1" applyNumberFormat="1" applyFont="1" applyFill="1" applyBorder="1" applyAlignment="1">
      <alignment horizontal="center" vertical="center"/>
    </xf>
    <xf numFmtId="49" fontId="12" fillId="6" borderId="1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20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24" xfId="3" applyNumberFormat="1" applyFont="1" applyFill="1" applyBorder="1" applyAlignment="1" applyProtection="1">
      <alignment horizontal="center" vertical="center" wrapText="1"/>
      <protection locked="0"/>
    </xf>
    <xf numFmtId="49" fontId="5" fillId="8" borderId="0" xfId="1" applyNumberFormat="1" applyFont="1" applyFill="1" applyAlignment="1">
      <alignment horizontal="center" vertical="center" wrapText="1"/>
    </xf>
    <xf numFmtId="49" fontId="12" fillId="6" borderId="7" xfId="3" applyNumberFormat="1" applyFont="1" applyFill="1" applyBorder="1" applyAlignment="1" applyProtection="1">
      <alignment horizontal="center" vertical="center" wrapText="1"/>
      <protection locked="0"/>
    </xf>
    <xf numFmtId="49" fontId="16" fillId="0" borderId="20" xfId="3" applyNumberFormat="1" applyFont="1" applyBorder="1" applyAlignment="1" applyProtection="1">
      <alignment horizontal="center" vertical="center" wrapText="1"/>
      <protection locked="0"/>
    </xf>
    <xf numFmtId="49" fontId="16" fillId="0" borderId="19" xfId="3" applyNumberFormat="1" applyFont="1" applyBorder="1" applyAlignment="1" applyProtection="1">
      <alignment horizontal="center" vertical="center" wrapText="1"/>
      <protection locked="0"/>
    </xf>
    <xf numFmtId="49" fontId="16" fillId="0" borderId="1" xfId="3" applyNumberFormat="1" applyFont="1" applyBorder="1" applyAlignment="1" applyProtection="1">
      <alignment horizontal="center" vertical="center" wrapText="1"/>
      <protection locked="0"/>
    </xf>
    <xf numFmtId="49" fontId="16" fillId="0" borderId="24" xfId="3" applyNumberFormat="1" applyFont="1" applyBorder="1" applyAlignment="1" applyProtection="1">
      <alignment horizontal="center" vertical="center" wrapText="1"/>
      <protection locked="0"/>
    </xf>
    <xf numFmtId="49" fontId="16" fillId="0" borderId="7" xfId="3" applyNumberFormat="1" applyFont="1" applyBorder="1" applyAlignment="1" applyProtection="1">
      <alignment horizontal="center" vertical="center" wrapText="1"/>
      <protection locked="0"/>
    </xf>
    <xf numFmtId="178" fontId="15" fillId="4" borderId="29" xfId="4" applyNumberFormat="1" applyFont="1" applyFill="1" applyBorder="1" applyAlignment="1">
      <alignment horizontal="center" vertical="center"/>
    </xf>
    <xf numFmtId="178" fontId="15" fillId="4" borderId="30" xfId="4" applyNumberFormat="1" applyFont="1" applyFill="1" applyBorder="1" applyAlignment="1">
      <alignment horizontal="center" vertical="center"/>
    </xf>
    <xf numFmtId="178" fontId="15" fillId="4" borderId="31" xfId="4" applyNumberFormat="1" applyFont="1" applyFill="1" applyBorder="1" applyAlignment="1">
      <alignment horizontal="center" vertical="center"/>
    </xf>
    <xf numFmtId="178" fontId="15" fillId="4" borderId="32" xfId="4" applyNumberFormat="1" applyFont="1" applyFill="1" applyBorder="1" applyAlignment="1">
      <alignment horizontal="center" vertical="center"/>
    </xf>
    <xf numFmtId="49" fontId="5" fillId="0" borderId="0" xfId="1" applyNumberFormat="1" applyFont="1" applyAlignment="1">
      <alignment horizontal="left" vertical="center"/>
    </xf>
    <xf numFmtId="49" fontId="12" fillId="6" borderId="7" xfId="1" applyNumberFormat="1" applyFont="1" applyFill="1" applyBorder="1" applyAlignment="1">
      <alignment horizontal="center" vertical="center" wrapText="1"/>
    </xf>
    <xf numFmtId="49" fontId="12" fillId="6" borderId="1" xfId="3" applyNumberFormat="1" applyFont="1" applyFill="1" applyBorder="1" applyAlignment="1" applyProtection="1">
      <alignment horizontal="left" vertical="center" wrapText="1"/>
      <protection locked="0"/>
    </xf>
    <xf numFmtId="49" fontId="9" fillId="6" borderId="7" xfId="3" applyNumberFormat="1" applyFont="1" applyFill="1" applyBorder="1" applyAlignment="1" applyProtection="1">
      <alignment horizontal="center" vertical="center" wrapText="1"/>
      <protection locked="0"/>
    </xf>
    <xf numFmtId="0" fontId="9" fillId="6" borderId="14" xfId="5" applyFont="1" applyFill="1" applyBorder="1" applyAlignment="1">
      <alignment horizontal="center" vertical="center" wrapText="1"/>
    </xf>
    <xf numFmtId="49" fontId="12" fillId="6" borderId="8" xfId="3" applyNumberFormat="1" applyFont="1" applyFill="1" applyBorder="1" applyAlignment="1" applyProtection="1">
      <alignment horizontal="left" vertical="center" wrapText="1"/>
      <protection locked="0"/>
    </xf>
    <xf numFmtId="49" fontId="5" fillId="6" borderId="0" xfId="1" applyNumberFormat="1" applyFont="1" applyFill="1" applyAlignment="1">
      <alignment horizontal="center" vertical="center"/>
    </xf>
    <xf numFmtId="49" fontId="10" fillId="6" borderId="7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4" xfId="3" applyNumberFormat="1" applyFont="1" applyFill="1" applyBorder="1" applyAlignment="1" applyProtection="1">
      <alignment horizontal="left" vertical="center" wrapText="1"/>
      <protection locked="0"/>
    </xf>
    <xf numFmtId="49" fontId="5" fillId="6" borderId="0" xfId="1" applyNumberFormat="1" applyFont="1" applyFill="1" applyAlignment="1">
      <alignment horizontal="left" vertical="center"/>
    </xf>
    <xf numFmtId="49" fontId="10" fillId="5" borderId="7" xfId="1" applyNumberFormat="1" applyFont="1" applyFill="1" applyBorder="1" applyAlignment="1">
      <alignment horizontal="center" vertical="center" wrapText="1"/>
    </xf>
    <xf numFmtId="49" fontId="5" fillId="5" borderId="0" xfId="1" applyNumberFormat="1" applyFont="1" applyFill="1" applyAlignment="1">
      <alignment horizontal="center" vertical="center"/>
    </xf>
    <xf numFmtId="49" fontId="12" fillId="5" borderId="1" xfId="3" applyNumberFormat="1" applyFont="1" applyFill="1" applyBorder="1" applyAlignment="1" applyProtection="1">
      <alignment horizontal="left" vertical="center" wrapText="1"/>
      <protection locked="0"/>
    </xf>
    <xf numFmtId="49" fontId="5" fillId="5" borderId="7" xfId="1" applyNumberFormat="1" applyFont="1" applyFill="1" applyBorder="1" applyAlignment="1">
      <alignment horizontal="center" vertical="center"/>
    </xf>
    <xf numFmtId="49" fontId="12" fillId="5" borderId="7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center" vertical="center"/>
    </xf>
    <xf numFmtId="49" fontId="2" fillId="2" borderId="2" xfId="1" applyNumberFormat="1" applyFont="1" applyFill="1" applyBorder="1" applyAlignment="1">
      <alignment horizontal="left" vertical="center"/>
    </xf>
    <xf numFmtId="49" fontId="2" fillId="2" borderId="3" xfId="1" applyNumberFormat="1" applyFont="1" applyFill="1" applyBorder="1" applyAlignment="1">
      <alignment horizontal="center" vertical="center"/>
    </xf>
    <xf numFmtId="49" fontId="2" fillId="2" borderId="4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left" vertical="center" wrapText="1"/>
    </xf>
    <xf numFmtId="49" fontId="2" fillId="2" borderId="8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center" vertical="center" wrapText="1"/>
    </xf>
    <xf numFmtId="49" fontId="2" fillId="2" borderId="9" xfId="1" applyNumberFormat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49" fontId="2" fillId="2" borderId="7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left" vertical="center" wrapText="1"/>
    </xf>
    <xf numFmtId="49" fontId="2" fillId="2" borderId="12" xfId="1" applyNumberFormat="1" applyFont="1" applyFill="1" applyBorder="1" applyAlignment="1">
      <alignment horizontal="center" vertical="center" wrapText="1"/>
    </xf>
    <xf numFmtId="49" fontId="2" fillId="2" borderId="14" xfId="1" applyNumberFormat="1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 wrapText="1"/>
    </xf>
    <xf numFmtId="0" fontId="6" fillId="2" borderId="13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49" fontId="10" fillId="0" borderId="12" xfId="1" applyNumberFormat="1" applyFont="1" applyBorder="1" applyAlignment="1">
      <alignment horizontal="center" vertical="center" wrapText="1"/>
    </xf>
    <xf numFmtId="49" fontId="10" fillId="0" borderId="16" xfId="1" applyNumberFormat="1" applyFont="1" applyBorder="1" applyAlignment="1">
      <alignment horizontal="center" vertical="center" wrapText="1"/>
    </xf>
    <xf numFmtId="49" fontId="10" fillId="0" borderId="14" xfId="1" applyNumberFormat="1" applyFont="1" applyBorder="1" applyAlignment="1">
      <alignment horizontal="center" vertical="center" wrapText="1"/>
    </xf>
    <xf numFmtId="49" fontId="12" fillId="5" borderId="12" xfId="3" applyNumberFormat="1" applyFont="1" applyFill="1" applyBorder="1" applyAlignment="1" applyProtection="1">
      <alignment horizontal="center" vertical="center" wrapText="1"/>
      <protection locked="0"/>
    </xf>
    <xf numFmtId="49" fontId="12" fillId="5" borderId="16" xfId="3" applyNumberFormat="1" applyFont="1" applyFill="1" applyBorder="1" applyAlignment="1" applyProtection="1">
      <alignment horizontal="center" vertical="center" wrapText="1"/>
      <protection locked="0"/>
    </xf>
    <xf numFmtId="49" fontId="12" fillId="5" borderId="14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4" xfId="3" applyNumberFormat="1" applyFont="1" applyFill="1" applyBorder="1" applyAlignment="1" applyProtection="1">
      <alignment horizontal="left" vertical="center" wrapText="1"/>
      <protection locked="0"/>
    </xf>
    <xf numFmtId="49" fontId="12" fillId="6" borderId="17" xfId="3" applyNumberFormat="1" applyFont="1" applyFill="1" applyBorder="1" applyAlignment="1" applyProtection="1">
      <alignment horizontal="left" vertical="center" wrapText="1"/>
      <protection locked="0"/>
    </xf>
    <xf numFmtId="49" fontId="12" fillId="6" borderId="8" xfId="3" applyNumberFormat="1" applyFont="1" applyFill="1" applyBorder="1" applyAlignment="1" applyProtection="1">
      <alignment horizontal="left" vertical="center" wrapText="1"/>
      <protection locked="0"/>
    </xf>
    <xf numFmtId="49" fontId="12" fillId="0" borderId="13" xfId="3" applyNumberFormat="1" applyFont="1" applyBorder="1" applyAlignment="1" applyProtection="1">
      <alignment horizontal="center" vertical="center" wrapText="1"/>
      <protection locked="0"/>
    </xf>
    <xf numFmtId="49" fontId="12" fillId="0" borderId="18" xfId="3" applyNumberFormat="1" applyFont="1" applyBorder="1" applyAlignment="1" applyProtection="1">
      <alignment horizontal="center" vertical="center" wrapText="1"/>
      <protection locked="0"/>
    </xf>
    <xf numFmtId="49" fontId="12" fillId="0" borderId="15" xfId="3" applyNumberFormat="1" applyFont="1" applyBorder="1" applyAlignment="1" applyProtection="1">
      <alignment horizontal="center" vertical="center" wrapText="1"/>
      <protection locked="0"/>
    </xf>
    <xf numFmtId="49" fontId="13" fillId="6" borderId="1" xfId="1" applyNumberFormat="1" applyFont="1" applyFill="1" applyBorder="1" applyAlignment="1">
      <alignment horizontal="center" vertical="center" wrapText="1"/>
    </xf>
    <xf numFmtId="49" fontId="13" fillId="6" borderId="2" xfId="1" applyNumberFormat="1" applyFont="1" applyFill="1" applyBorder="1" applyAlignment="1">
      <alignment horizontal="center" vertical="center" wrapText="1"/>
    </xf>
    <xf numFmtId="49" fontId="13" fillId="6" borderId="2" xfId="1" applyNumberFormat="1" applyFont="1" applyFill="1" applyBorder="1" applyAlignment="1">
      <alignment horizontal="left" vertical="center" wrapText="1"/>
    </xf>
    <xf numFmtId="49" fontId="12" fillId="0" borderId="12" xfId="3" applyNumberFormat="1" applyFont="1" applyBorder="1" applyAlignment="1" applyProtection="1">
      <alignment horizontal="center" vertical="center" wrapText="1"/>
      <protection locked="0"/>
    </xf>
    <xf numFmtId="49" fontId="12" fillId="0" borderId="14" xfId="3" applyNumberFormat="1" applyFont="1" applyBorder="1" applyAlignment="1" applyProtection="1">
      <alignment horizontal="center" vertical="center" wrapText="1"/>
      <protection locked="0"/>
    </xf>
    <xf numFmtId="49" fontId="12" fillId="0" borderId="21" xfId="3" applyNumberFormat="1" applyFont="1" applyBorder="1" applyAlignment="1" applyProtection="1">
      <alignment horizontal="center" vertical="center" wrapText="1"/>
      <protection locked="0"/>
    </xf>
    <xf numFmtId="49" fontId="12" fillId="0" borderId="22" xfId="3" applyNumberFormat="1" applyFont="1" applyBorder="1" applyAlignment="1" applyProtection="1">
      <alignment horizontal="center" vertical="center" wrapText="1"/>
      <protection locked="0"/>
    </xf>
    <xf numFmtId="49" fontId="12" fillId="0" borderId="23" xfId="3" applyNumberFormat="1" applyFont="1" applyBorder="1" applyAlignment="1" applyProtection="1">
      <alignment horizontal="center" vertical="center" wrapText="1"/>
      <protection locked="0"/>
    </xf>
    <xf numFmtId="49" fontId="12" fillId="6" borderId="12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16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14" xfId="3" applyNumberFormat="1" applyFont="1" applyFill="1" applyBorder="1" applyAlignment="1" applyProtection="1">
      <alignment horizontal="center" vertical="center" wrapText="1"/>
      <protection locked="0"/>
    </xf>
    <xf numFmtId="49" fontId="12" fillId="0" borderId="16" xfId="3" applyNumberFormat="1" applyFont="1" applyBorder="1" applyAlignment="1" applyProtection="1">
      <alignment horizontal="center" vertical="center" wrapText="1"/>
      <protection locked="0"/>
    </xf>
    <xf numFmtId="0" fontId="9" fillId="5" borderId="12" xfId="5" applyFont="1" applyFill="1" applyBorder="1" applyAlignment="1">
      <alignment horizontal="center" vertical="center" wrapText="1"/>
    </xf>
    <xf numFmtId="0" fontId="9" fillId="5" borderId="14" xfId="5" applyFont="1" applyFill="1" applyBorder="1" applyAlignment="1">
      <alignment horizontal="center" vertical="center" wrapText="1"/>
    </xf>
    <xf numFmtId="0" fontId="9" fillId="6" borderId="4" xfId="5" applyFont="1" applyFill="1" applyBorder="1" applyAlignment="1">
      <alignment horizontal="left" vertical="center" wrapText="1"/>
    </xf>
    <xf numFmtId="0" fontId="9" fillId="6" borderId="8" xfId="5" applyFont="1" applyFill="1" applyBorder="1" applyAlignment="1">
      <alignment horizontal="left" vertical="center" wrapText="1"/>
    </xf>
    <xf numFmtId="49" fontId="12" fillId="6" borderId="21" xfId="3" applyNumberFormat="1" applyFont="1" applyFill="1" applyBorder="1" applyAlignment="1" applyProtection="1">
      <alignment horizontal="left" vertical="center" wrapText="1"/>
      <protection locked="0"/>
    </xf>
    <xf numFmtId="49" fontId="12" fillId="6" borderId="23" xfId="3" applyNumberFormat="1" applyFont="1" applyFill="1" applyBorder="1" applyAlignment="1" applyProtection="1">
      <alignment horizontal="left" vertical="center" wrapText="1"/>
      <protection locked="0"/>
    </xf>
    <xf numFmtId="49" fontId="12" fillId="0" borderId="4" xfId="3" applyNumberFormat="1" applyFont="1" applyBorder="1" applyAlignment="1" applyProtection="1">
      <alignment horizontal="center" vertical="center" wrapText="1"/>
      <protection locked="0"/>
    </xf>
    <xf numFmtId="49" fontId="12" fillId="0" borderId="8" xfId="3" applyNumberFormat="1" applyFont="1" applyBorder="1" applyAlignment="1" applyProtection="1">
      <alignment horizontal="center" vertical="center" wrapText="1"/>
      <protection locked="0"/>
    </xf>
    <xf numFmtId="0" fontId="9" fillId="6" borderId="17" xfId="5" applyFont="1" applyFill="1" applyBorder="1" applyAlignment="1">
      <alignment horizontal="left" vertical="center" wrapText="1"/>
    </xf>
    <xf numFmtId="49" fontId="12" fillId="0" borderId="17" xfId="3" applyNumberFormat="1" applyFont="1" applyBorder="1" applyAlignment="1" applyProtection="1">
      <alignment horizontal="center" vertical="center" wrapText="1"/>
      <protection locked="0"/>
    </xf>
    <xf numFmtId="49" fontId="12" fillId="0" borderId="25" xfId="3" applyNumberFormat="1" applyFont="1" applyBorder="1" applyAlignment="1" applyProtection="1">
      <alignment horizontal="center" vertical="center" wrapText="1"/>
      <protection locked="0"/>
    </xf>
    <xf numFmtId="49" fontId="12" fillId="0" borderId="11" xfId="3" applyNumberFormat="1" applyFont="1" applyBorder="1" applyAlignment="1" applyProtection="1">
      <alignment horizontal="center" vertical="center" wrapText="1"/>
      <protection locked="0"/>
    </xf>
    <xf numFmtId="49" fontId="5" fillId="0" borderId="12" xfId="1" applyNumberFormat="1" applyFont="1" applyBorder="1" applyAlignment="1">
      <alignment horizontal="center" vertical="center" wrapText="1"/>
    </xf>
    <xf numFmtId="49" fontId="5" fillId="0" borderId="16" xfId="1" applyNumberFormat="1" applyFont="1" applyBorder="1" applyAlignment="1">
      <alignment horizontal="center" vertical="center"/>
    </xf>
    <xf numFmtId="49" fontId="5" fillId="0" borderId="14" xfId="1" applyNumberFormat="1" applyFont="1" applyBorder="1" applyAlignment="1">
      <alignment horizontal="center" vertical="center"/>
    </xf>
    <xf numFmtId="49" fontId="12" fillId="5" borderId="4" xfId="3" applyNumberFormat="1" applyFont="1" applyFill="1" applyBorder="1" applyAlignment="1" applyProtection="1">
      <alignment horizontal="center" vertical="center" wrapText="1"/>
      <protection locked="0"/>
    </xf>
    <xf numFmtId="49" fontId="12" fillId="5" borderId="8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26" xfId="3" applyNumberFormat="1" applyFont="1" applyFill="1" applyBorder="1" applyAlignment="1" applyProtection="1">
      <alignment horizontal="left" vertical="center" wrapText="1"/>
      <protection locked="0"/>
    </xf>
    <xf numFmtId="49" fontId="12" fillId="6" borderId="27" xfId="3" applyNumberFormat="1" applyFont="1" applyFill="1" applyBorder="1" applyAlignment="1" applyProtection="1">
      <alignment horizontal="left" vertical="center" wrapText="1"/>
      <protection locked="0"/>
    </xf>
    <xf numFmtId="49" fontId="12" fillId="0" borderId="28" xfId="3" applyNumberFormat="1" applyFont="1" applyBorder="1" applyAlignment="1" applyProtection="1">
      <alignment horizontal="center" vertical="center" wrapText="1"/>
      <protection locked="0"/>
    </xf>
    <xf numFmtId="49" fontId="12" fillId="0" borderId="10" xfId="3" applyNumberFormat="1" applyFont="1" applyBorder="1" applyAlignment="1" applyProtection="1">
      <alignment horizontal="center" vertical="center" wrapText="1"/>
      <protection locked="0"/>
    </xf>
    <xf numFmtId="49" fontId="12" fillId="6" borderId="21" xfId="3" applyNumberFormat="1" applyFont="1" applyFill="1" applyBorder="1" applyAlignment="1" applyProtection="1">
      <alignment horizontal="center" vertical="center" wrapText="1"/>
      <protection locked="0"/>
    </xf>
    <xf numFmtId="49" fontId="12" fillId="6" borderId="23" xfId="3" applyNumberFormat="1" applyFont="1" applyFill="1" applyBorder="1" applyAlignment="1" applyProtection="1">
      <alignment horizontal="center" vertical="center" wrapText="1"/>
      <protection locked="0"/>
    </xf>
  </cellXfs>
  <cellStyles count="24">
    <cellStyle name="Normal_P2_CNFG.XLS 2 2" xfId="6" xr:uid="{00000000-0005-0000-0000-000000000000}"/>
    <cellStyle name="Normal_P2_CNFG.XLS 2 2 2" xfId="3" xr:uid="{00000000-0005-0000-0000-000001000000}"/>
    <cellStyle name="百分比 2" xfId="7" xr:uid="{00000000-0005-0000-0000-000002000000}"/>
    <cellStyle name="百分比 3" xfId="8" xr:uid="{00000000-0005-0000-0000-000003000000}"/>
    <cellStyle name="標準_380＆380MSpecListRev14 &amp;正規030124" xfId="9" xr:uid="{00000000-0005-0000-0000-000004000000}"/>
    <cellStyle name="常规" xfId="0" builtinId="0"/>
    <cellStyle name="常规 2" xfId="10" xr:uid="{00000000-0005-0000-0000-000006000000}"/>
    <cellStyle name="常规 2 2" xfId="11" xr:uid="{00000000-0005-0000-0000-000007000000}"/>
    <cellStyle name="常规 2 2 2" xfId="12" xr:uid="{00000000-0005-0000-0000-000008000000}"/>
    <cellStyle name="常规 2 9" xfId="4" xr:uid="{00000000-0005-0000-0000-000009000000}"/>
    <cellStyle name="常规 3" xfId="2" xr:uid="{00000000-0005-0000-0000-00000A000000}"/>
    <cellStyle name="常规 3 2" xfId="13" xr:uid="{00000000-0005-0000-0000-00000B000000}"/>
    <cellStyle name="常规 3 3" xfId="14" xr:uid="{00000000-0005-0000-0000-00000C000000}"/>
    <cellStyle name="常规 3 4" xfId="15" xr:uid="{00000000-0005-0000-0000-00000D000000}"/>
    <cellStyle name="常规 4" xfId="16" xr:uid="{00000000-0005-0000-0000-00000E000000}"/>
    <cellStyle name="常规 4 2" xfId="17" xr:uid="{00000000-0005-0000-0000-00000F000000}"/>
    <cellStyle name="常规 4 3" xfId="1" xr:uid="{00000000-0005-0000-0000-000010000000}"/>
    <cellStyle name="常规 5" xfId="18" xr:uid="{00000000-0005-0000-0000-000011000000}"/>
    <cellStyle name="常规 5 2" xfId="19" xr:uid="{00000000-0005-0000-0000-000012000000}"/>
    <cellStyle name="常规 6" xfId="20" xr:uid="{00000000-0005-0000-0000-000013000000}"/>
    <cellStyle name="常规 7" xfId="21" xr:uid="{00000000-0005-0000-0000-000014000000}"/>
    <cellStyle name="常规 73 6" xfId="22" xr:uid="{00000000-0005-0000-0000-000015000000}"/>
    <cellStyle name="常规 8" xfId="5" xr:uid="{00000000-0005-0000-0000-000016000000}"/>
    <cellStyle name="千位分隔 2" xfId="23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4"/>
  <sheetViews>
    <sheetView tabSelected="1" workbookViewId="0">
      <pane xSplit="1" ySplit="6" topLeftCell="B55" activePane="bottomRight" state="frozen"/>
      <selection pane="topRight"/>
      <selection pane="bottomLeft"/>
      <selection pane="bottomRight" activeCell="O49" sqref="O49"/>
    </sheetView>
  </sheetViews>
  <sheetFormatPr defaultColWidth="8.6640625" defaultRowHeight="15"/>
  <cols>
    <col min="1" max="2" width="7.44140625" style="2" customWidth="1"/>
    <col min="3" max="3" width="23.44140625" style="2" customWidth="1"/>
    <col min="4" max="4" width="32.21875" style="43" customWidth="1"/>
    <col min="5" max="14" width="8.44140625" style="2" customWidth="1"/>
    <col min="15" max="15" width="48.77734375" style="2" customWidth="1"/>
    <col min="16" max="16" width="20.21875" style="2" customWidth="1"/>
    <col min="17" max="16384" width="8.6640625" style="2"/>
  </cols>
  <sheetData>
    <row r="1" spans="1:15">
      <c r="A1" s="58" t="s">
        <v>0</v>
      </c>
      <c r="B1" s="59"/>
      <c r="C1" s="59"/>
      <c r="D1" s="60"/>
      <c r="E1" s="61"/>
      <c r="F1" s="61"/>
      <c r="G1" s="61"/>
      <c r="H1" s="61"/>
      <c r="I1" s="61"/>
      <c r="J1" s="61"/>
      <c r="K1" s="61"/>
      <c r="L1" s="61"/>
      <c r="M1" s="1"/>
      <c r="N1" s="1"/>
    </row>
    <row r="2" spans="1:15">
      <c r="A2" s="62" t="s">
        <v>1</v>
      </c>
      <c r="B2" s="63"/>
      <c r="C2" s="63"/>
      <c r="D2" s="64"/>
      <c r="E2" s="68" t="s">
        <v>2</v>
      </c>
      <c r="F2" s="69"/>
      <c r="G2" s="69"/>
      <c r="H2" s="69"/>
      <c r="I2" s="69"/>
      <c r="J2" s="69"/>
      <c r="K2" s="69"/>
      <c r="L2" s="69"/>
      <c r="M2" s="69"/>
      <c r="N2" s="70"/>
      <c r="O2" s="74" t="s">
        <v>3</v>
      </c>
    </row>
    <row r="3" spans="1:15">
      <c r="A3" s="65"/>
      <c r="B3" s="66"/>
      <c r="C3" s="66"/>
      <c r="D3" s="67"/>
      <c r="E3" s="71"/>
      <c r="F3" s="72"/>
      <c r="G3" s="72"/>
      <c r="H3" s="72"/>
      <c r="I3" s="72"/>
      <c r="J3" s="72"/>
      <c r="K3" s="72"/>
      <c r="L3" s="72"/>
      <c r="M3" s="72"/>
      <c r="N3" s="73"/>
      <c r="O3" s="74"/>
    </row>
    <row r="4" spans="1:15" ht="66">
      <c r="A4" s="75" t="s">
        <v>4</v>
      </c>
      <c r="B4" s="76"/>
      <c r="C4" s="76"/>
      <c r="D4" s="77"/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74"/>
    </row>
    <row r="5" spans="1:15">
      <c r="A5" s="78" t="s">
        <v>15</v>
      </c>
      <c r="B5" s="78" t="s">
        <v>16</v>
      </c>
      <c r="C5" s="80" t="s">
        <v>17</v>
      </c>
      <c r="D5" s="81"/>
      <c r="E5" s="82" t="s">
        <v>18</v>
      </c>
      <c r="F5" s="82" t="s">
        <v>18</v>
      </c>
      <c r="G5" s="82" t="s">
        <v>18</v>
      </c>
      <c r="H5" s="82" t="s">
        <v>18</v>
      </c>
      <c r="I5" s="82" t="s">
        <v>18</v>
      </c>
      <c r="J5" s="82" t="s">
        <v>18</v>
      </c>
      <c r="K5" s="82" t="s">
        <v>18</v>
      </c>
      <c r="L5" s="82" t="s">
        <v>18</v>
      </c>
      <c r="M5" s="82" t="s">
        <v>18</v>
      </c>
      <c r="N5" s="82" t="s">
        <v>18</v>
      </c>
      <c r="O5" s="74"/>
    </row>
    <row r="6" spans="1:15">
      <c r="A6" s="79"/>
      <c r="B6" s="79"/>
      <c r="C6" s="5" t="s">
        <v>19</v>
      </c>
      <c r="D6" s="6" t="s">
        <v>20</v>
      </c>
      <c r="E6" s="83"/>
      <c r="F6" s="83"/>
      <c r="G6" s="83"/>
      <c r="H6" s="83"/>
      <c r="I6" s="83"/>
      <c r="J6" s="83"/>
      <c r="K6" s="83"/>
      <c r="L6" s="83"/>
      <c r="M6" s="83"/>
      <c r="N6" s="83"/>
      <c r="O6" s="74"/>
    </row>
    <row r="7" spans="1:15">
      <c r="A7" s="84" t="s">
        <v>21</v>
      </c>
      <c r="B7" s="53" t="s">
        <v>22</v>
      </c>
      <c r="C7" s="87" t="s">
        <v>23</v>
      </c>
      <c r="D7" s="90" t="s">
        <v>24</v>
      </c>
      <c r="E7" s="93" t="s">
        <v>25</v>
      </c>
      <c r="F7" s="93" t="s">
        <v>25</v>
      </c>
      <c r="G7" s="93" t="s">
        <v>25</v>
      </c>
      <c r="H7" s="93" t="s">
        <v>25</v>
      </c>
      <c r="I7" s="93" t="s">
        <v>25</v>
      </c>
      <c r="J7" s="93" t="s">
        <v>25</v>
      </c>
      <c r="K7" s="93" t="s">
        <v>25</v>
      </c>
      <c r="L7" s="93" t="s">
        <v>25</v>
      </c>
      <c r="M7" s="93" t="s">
        <v>25</v>
      </c>
      <c r="N7" s="93" t="s">
        <v>25</v>
      </c>
      <c r="O7" s="8"/>
    </row>
    <row r="8" spans="1:15">
      <c r="A8" s="85"/>
      <c r="B8" s="53" t="s">
        <v>26</v>
      </c>
      <c r="C8" s="88"/>
      <c r="D8" s="91"/>
      <c r="E8" s="94"/>
      <c r="F8" s="94"/>
      <c r="G8" s="94"/>
      <c r="H8" s="94"/>
      <c r="I8" s="94"/>
      <c r="J8" s="94"/>
      <c r="K8" s="94"/>
      <c r="L8" s="94"/>
      <c r="M8" s="94"/>
      <c r="N8" s="94"/>
      <c r="O8" s="8"/>
    </row>
    <row r="9" spans="1:15">
      <c r="A9" s="85"/>
      <c r="B9" s="53" t="s">
        <v>27</v>
      </c>
      <c r="C9" s="88"/>
      <c r="D9" s="91"/>
      <c r="E9" s="94"/>
      <c r="F9" s="94"/>
      <c r="G9" s="94"/>
      <c r="H9" s="94"/>
      <c r="I9" s="94"/>
      <c r="J9" s="94"/>
      <c r="K9" s="94"/>
      <c r="L9" s="94"/>
      <c r="M9" s="94"/>
      <c r="N9" s="94"/>
      <c r="O9" s="8"/>
    </row>
    <row r="10" spans="1:15">
      <c r="A10" s="85"/>
      <c r="B10" s="53" t="s">
        <v>28</v>
      </c>
      <c r="C10" s="89"/>
      <c r="D10" s="92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8"/>
    </row>
    <row r="11" spans="1:15">
      <c r="A11" s="85"/>
      <c r="B11" s="53" t="s">
        <v>29</v>
      </c>
      <c r="C11" s="87" t="s">
        <v>30</v>
      </c>
      <c r="D11" s="90" t="s">
        <v>31</v>
      </c>
      <c r="E11" s="93" t="s">
        <v>25</v>
      </c>
      <c r="F11" s="93" t="s">
        <v>25</v>
      </c>
      <c r="G11" s="93" t="s">
        <v>25</v>
      </c>
      <c r="H11" s="93" t="s">
        <v>25</v>
      </c>
      <c r="I11" s="93" t="s">
        <v>25</v>
      </c>
      <c r="J11" s="93" t="s">
        <v>25</v>
      </c>
      <c r="K11" s="93" t="s">
        <v>25</v>
      </c>
      <c r="L11" s="93" t="s">
        <v>25</v>
      </c>
      <c r="M11" s="93" t="s">
        <v>25</v>
      </c>
      <c r="N11" s="93" t="s">
        <v>25</v>
      </c>
      <c r="O11" s="8"/>
    </row>
    <row r="12" spans="1:15">
      <c r="A12" s="85"/>
      <c r="B12" s="53" t="s">
        <v>32</v>
      </c>
      <c r="C12" s="88"/>
      <c r="D12" s="91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8"/>
    </row>
    <row r="13" spans="1:15">
      <c r="A13" s="85"/>
      <c r="B13" s="53" t="s">
        <v>33</v>
      </c>
      <c r="C13" s="88"/>
      <c r="D13" s="91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8"/>
    </row>
    <row r="14" spans="1:15">
      <c r="A14" s="85"/>
      <c r="B14" s="53" t="s">
        <v>34</v>
      </c>
      <c r="C14" s="89"/>
      <c r="D14" s="9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8" t="s">
        <v>35</v>
      </c>
    </row>
    <row r="15" spans="1:15" ht="17.399999999999999">
      <c r="A15" s="85"/>
      <c r="B15" s="96" t="s">
        <v>36</v>
      </c>
      <c r="C15" s="97"/>
      <c r="D15" s="98"/>
      <c r="E15" s="10" t="str">
        <f>DEC2HEX(E11*16+E7*1)</f>
        <v>0</v>
      </c>
      <c r="F15" s="11" t="str">
        <f t="shared" ref="F15:N15" si="0">DEC2HEX(F11*16+F7*1)</f>
        <v>0</v>
      </c>
      <c r="G15" s="11" t="str">
        <f t="shared" si="0"/>
        <v>0</v>
      </c>
      <c r="H15" s="11" t="str">
        <f t="shared" si="0"/>
        <v>0</v>
      </c>
      <c r="I15" s="12" t="str">
        <f t="shared" si="0"/>
        <v>0</v>
      </c>
      <c r="J15" s="10" t="str">
        <f t="shared" si="0"/>
        <v>0</v>
      </c>
      <c r="K15" s="13" t="str">
        <f t="shared" si="0"/>
        <v>0</v>
      </c>
      <c r="L15" s="12" t="str">
        <f t="shared" si="0"/>
        <v>0</v>
      </c>
      <c r="M15" s="12" t="str">
        <f t="shared" si="0"/>
        <v>0</v>
      </c>
      <c r="N15" s="12" t="str">
        <f t="shared" si="0"/>
        <v>0</v>
      </c>
      <c r="O15" s="8"/>
    </row>
    <row r="16" spans="1:15" ht="75">
      <c r="A16" s="85"/>
      <c r="B16" s="53" t="s">
        <v>22</v>
      </c>
      <c r="C16" s="87" t="s">
        <v>37</v>
      </c>
      <c r="D16" s="90" t="s">
        <v>38</v>
      </c>
      <c r="E16" s="93" t="s">
        <v>39</v>
      </c>
      <c r="F16" s="99" t="s">
        <v>40</v>
      </c>
      <c r="G16" s="99" t="s">
        <v>40</v>
      </c>
      <c r="H16" s="99" t="s">
        <v>40</v>
      </c>
      <c r="I16" s="99" t="s">
        <v>40</v>
      </c>
      <c r="J16" s="99" t="s">
        <v>40</v>
      </c>
      <c r="K16" s="99" t="s">
        <v>40</v>
      </c>
      <c r="L16" s="99" t="s">
        <v>40</v>
      </c>
      <c r="M16" s="99" t="s">
        <v>40</v>
      </c>
      <c r="N16" s="99" t="s">
        <v>40</v>
      </c>
      <c r="O16" s="14" t="s">
        <v>41</v>
      </c>
    </row>
    <row r="17" spans="1:15">
      <c r="A17" s="85"/>
      <c r="B17" s="53" t="s">
        <v>26</v>
      </c>
      <c r="C17" s="89"/>
      <c r="D17" s="92"/>
      <c r="E17" s="95"/>
      <c r="F17" s="100"/>
      <c r="G17" s="100"/>
      <c r="H17" s="100"/>
      <c r="I17" s="100"/>
      <c r="J17" s="100"/>
      <c r="K17" s="100"/>
      <c r="L17" s="100"/>
      <c r="M17" s="100"/>
      <c r="N17" s="100"/>
      <c r="O17" s="8"/>
    </row>
    <row r="18" spans="1:15" ht="60">
      <c r="A18" s="85"/>
      <c r="B18" s="53" t="s">
        <v>27</v>
      </c>
      <c r="C18" s="87" t="s">
        <v>42</v>
      </c>
      <c r="D18" s="90" t="s">
        <v>43</v>
      </c>
      <c r="E18" s="93" t="s">
        <v>39</v>
      </c>
      <c r="F18" s="104" t="s">
        <v>44</v>
      </c>
      <c r="G18" s="93" t="s">
        <v>44</v>
      </c>
      <c r="H18" s="99" t="s">
        <v>44</v>
      </c>
      <c r="I18" s="101" t="s">
        <v>44</v>
      </c>
      <c r="J18" s="101" t="s">
        <v>44</v>
      </c>
      <c r="K18" s="101" t="s">
        <v>44</v>
      </c>
      <c r="L18" s="101" t="s">
        <v>44</v>
      </c>
      <c r="M18" s="101" t="s">
        <v>44</v>
      </c>
      <c r="N18" s="101" t="s">
        <v>44</v>
      </c>
      <c r="O18" s="14" t="s">
        <v>45</v>
      </c>
    </row>
    <row r="19" spans="1:15">
      <c r="A19" s="85"/>
      <c r="B19" s="53" t="s">
        <v>28</v>
      </c>
      <c r="C19" s="88"/>
      <c r="D19" s="91"/>
      <c r="E19" s="94"/>
      <c r="F19" s="105"/>
      <c r="G19" s="94"/>
      <c r="H19" s="107"/>
      <c r="I19" s="102"/>
      <c r="J19" s="102"/>
      <c r="K19" s="102"/>
      <c r="L19" s="102"/>
      <c r="M19" s="102"/>
      <c r="N19" s="102"/>
      <c r="O19" s="8"/>
    </row>
    <row r="20" spans="1:15">
      <c r="A20" s="85"/>
      <c r="B20" s="57" t="s">
        <v>29</v>
      </c>
      <c r="C20" s="89"/>
      <c r="D20" s="92"/>
      <c r="E20" s="95"/>
      <c r="F20" s="106"/>
      <c r="G20" s="95"/>
      <c r="H20" s="100"/>
      <c r="I20" s="103"/>
      <c r="J20" s="103"/>
      <c r="K20" s="103"/>
      <c r="L20" s="103"/>
      <c r="M20" s="103"/>
      <c r="N20" s="103"/>
      <c r="O20" s="8"/>
    </row>
    <row r="21" spans="1:15" ht="30">
      <c r="A21" s="85"/>
      <c r="B21" s="57" t="s">
        <v>32</v>
      </c>
      <c r="C21" s="15" t="s">
        <v>46</v>
      </c>
      <c r="D21" s="45" t="s">
        <v>47</v>
      </c>
      <c r="E21" s="16" t="s">
        <v>48</v>
      </c>
      <c r="F21" s="16" t="s">
        <v>262</v>
      </c>
      <c r="G21" s="16" t="s">
        <v>48</v>
      </c>
      <c r="H21" s="16" t="s">
        <v>48</v>
      </c>
      <c r="I21" s="16" t="s">
        <v>48</v>
      </c>
      <c r="J21" s="16" t="s">
        <v>48</v>
      </c>
      <c r="K21" s="16" t="s">
        <v>48</v>
      </c>
      <c r="L21" s="16" t="s">
        <v>48</v>
      </c>
      <c r="M21" s="16" t="s">
        <v>48</v>
      </c>
      <c r="N21" s="16" t="s">
        <v>48</v>
      </c>
      <c r="O21" s="14" t="s">
        <v>49</v>
      </c>
    </row>
    <row r="22" spans="1:15" ht="30">
      <c r="A22" s="85"/>
      <c r="B22" s="44" t="s">
        <v>33</v>
      </c>
      <c r="C22" s="15" t="s">
        <v>261</v>
      </c>
      <c r="D22" s="45" t="s">
        <v>47</v>
      </c>
      <c r="E22" s="17" t="s">
        <v>25</v>
      </c>
      <c r="F22" s="16" t="s">
        <v>262</v>
      </c>
      <c r="G22" s="16" t="s">
        <v>48</v>
      </c>
      <c r="H22" s="16" t="s">
        <v>48</v>
      </c>
      <c r="I22" s="16" t="s">
        <v>48</v>
      </c>
      <c r="J22" s="16" t="s">
        <v>48</v>
      </c>
      <c r="K22" s="16" t="s">
        <v>48</v>
      </c>
      <c r="L22" s="16" t="s">
        <v>48</v>
      </c>
      <c r="M22" s="16" t="s">
        <v>48</v>
      </c>
      <c r="N22" s="16" t="s">
        <v>48</v>
      </c>
      <c r="O22" s="14" t="s">
        <v>50</v>
      </c>
    </row>
    <row r="23" spans="1:15">
      <c r="A23" s="85"/>
      <c r="B23" s="44" t="s">
        <v>34</v>
      </c>
      <c r="C23" s="33" t="s">
        <v>51</v>
      </c>
      <c r="D23" s="45"/>
      <c r="E23" s="17"/>
      <c r="F23" s="16"/>
      <c r="G23" s="16"/>
      <c r="H23" s="16"/>
      <c r="I23" s="18"/>
      <c r="J23" s="17"/>
      <c r="K23" s="19" t="s">
        <v>25</v>
      </c>
      <c r="L23" s="18" t="s">
        <v>25</v>
      </c>
      <c r="M23" s="20"/>
      <c r="N23" s="19"/>
      <c r="O23" s="8"/>
    </row>
    <row r="24" spans="1:15" ht="17.399999999999999">
      <c r="A24" s="85"/>
      <c r="B24" s="96" t="s">
        <v>52</v>
      </c>
      <c r="C24" s="97"/>
      <c r="D24" s="98"/>
      <c r="E24" s="10" t="str">
        <f>DEC2HEX(E23*128+E22*64+E21*32+E18*4++E16*1)</f>
        <v>2A</v>
      </c>
      <c r="F24" s="11" t="str">
        <f t="shared" ref="F24:N24" si="1">DEC2HEX(F23*128+F22*64+F21*32+F18*4++F16*1)</f>
        <v>73</v>
      </c>
      <c r="G24" s="11" t="str">
        <f t="shared" si="1"/>
        <v>73</v>
      </c>
      <c r="H24" s="11" t="str">
        <f t="shared" si="1"/>
        <v>73</v>
      </c>
      <c r="I24" s="12" t="str">
        <f t="shared" si="1"/>
        <v>73</v>
      </c>
      <c r="J24" s="10" t="str">
        <f t="shared" si="1"/>
        <v>73</v>
      </c>
      <c r="K24" s="13" t="str">
        <f t="shared" si="1"/>
        <v>73</v>
      </c>
      <c r="L24" s="12" t="str">
        <f t="shared" si="1"/>
        <v>73</v>
      </c>
      <c r="M24" s="12" t="str">
        <f t="shared" si="1"/>
        <v>73</v>
      </c>
      <c r="N24" s="12" t="str">
        <f t="shared" si="1"/>
        <v>73</v>
      </c>
      <c r="O24" s="8"/>
    </row>
    <row r="25" spans="1:15" ht="60">
      <c r="A25" s="85"/>
      <c r="B25" s="25" t="s">
        <v>22</v>
      </c>
      <c r="C25" s="15" t="s">
        <v>53</v>
      </c>
      <c r="D25" s="45" t="s">
        <v>54</v>
      </c>
      <c r="E25" s="21" t="s">
        <v>25</v>
      </c>
      <c r="F25" s="16" t="s">
        <v>48</v>
      </c>
      <c r="G25" s="16" t="s">
        <v>48</v>
      </c>
      <c r="H25" s="16" t="s">
        <v>48</v>
      </c>
      <c r="I25" s="16" t="s">
        <v>48</v>
      </c>
      <c r="J25" s="16" t="s">
        <v>48</v>
      </c>
      <c r="K25" s="16" t="s">
        <v>48</v>
      </c>
      <c r="L25" s="16" t="s">
        <v>48</v>
      </c>
      <c r="M25" s="16" t="s">
        <v>48</v>
      </c>
      <c r="N25" s="16" t="s">
        <v>48</v>
      </c>
      <c r="O25" s="14" t="s">
        <v>55</v>
      </c>
    </row>
    <row r="26" spans="1:15" ht="45">
      <c r="A26" s="85"/>
      <c r="B26" s="25" t="s">
        <v>26</v>
      </c>
      <c r="C26" s="23" t="s">
        <v>56</v>
      </c>
      <c r="D26" s="45" t="s">
        <v>54</v>
      </c>
      <c r="E26" s="17" t="s">
        <v>25</v>
      </c>
      <c r="F26" s="16" t="s">
        <v>48</v>
      </c>
      <c r="G26" s="16" t="s">
        <v>48</v>
      </c>
      <c r="H26" s="16" t="s">
        <v>48</v>
      </c>
      <c r="I26" s="16" t="s">
        <v>48</v>
      </c>
      <c r="J26" s="16" t="s">
        <v>48</v>
      </c>
      <c r="K26" s="16" t="s">
        <v>48</v>
      </c>
      <c r="L26" s="16" t="s">
        <v>48</v>
      </c>
      <c r="M26" s="16" t="s">
        <v>48</v>
      </c>
      <c r="N26" s="16" t="s">
        <v>48</v>
      </c>
      <c r="O26" s="14" t="s">
        <v>57</v>
      </c>
    </row>
    <row r="27" spans="1:15" ht="30">
      <c r="A27" s="85"/>
      <c r="B27" s="25" t="s">
        <v>27</v>
      </c>
      <c r="C27" s="46" t="s">
        <v>58</v>
      </c>
      <c r="D27" s="45" t="s">
        <v>54</v>
      </c>
      <c r="E27" s="21" t="s">
        <v>25</v>
      </c>
      <c r="F27" s="21" t="s">
        <v>25</v>
      </c>
      <c r="G27" s="21" t="s">
        <v>25</v>
      </c>
      <c r="H27" s="21" t="s">
        <v>25</v>
      </c>
      <c r="I27" s="21" t="s">
        <v>25</v>
      </c>
      <c r="J27" s="21" t="s">
        <v>25</v>
      </c>
      <c r="K27" s="21" t="s">
        <v>25</v>
      </c>
      <c r="L27" s="21" t="s">
        <v>25</v>
      </c>
      <c r="M27" s="21" t="s">
        <v>25</v>
      </c>
      <c r="N27" s="21" t="s">
        <v>25</v>
      </c>
      <c r="O27" s="14" t="s">
        <v>59</v>
      </c>
    </row>
    <row r="28" spans="1:15" ht="45">
      <c r="A28" s="85"/>
      <c r="B28" s="25" t="s">
        <v>28</v>
      </c>
      <c r="C28" s="15" t="s">
        <v>60</v>
      </c>
      <c r="D28" s="45" t="s">
        <v>54</v>
      </c>
      <c r="E28" s="17" t="s">
        <v>25</v>
      </c>
      <c r="F28" s="16" t="s">
        <v>48</v>
      </c>
      <c r="G28" s="16" t="s">
        <v>48</v>
      </c>
      <c r="H28" s="16" t="s">
        <v>48</v>
      </c>
      <c r="I28" s="16" t="s">
        <v>48</v>
      </c>
      <c r="J28" s="16" t="s">
        <v>48</v>
      </c>
      <c r="K28" s="16" t="s">
        <v>48</v>
      </c>
      <c r="L28" s="16" t="s">
        <v>48</v>
      </c>
      <c r="M28" s="16" t="s">
        <v>48</v>
      </c>
      <c r="N28" s="16" t="s">
        <v>48</v>
      </c>
      <c r="O28" s="14" t="s">
        <v>57</v>
      </c>
    </row>
    <row r="29" spans="1:15" ht="60">
      <c r="A29" s="85"/>
      <c r="B29" s="25" t="s">
        <v>29</v>
      </c>
      <c r="C29" s="23" t="s">
        <v>61</v>
      </c>
      <c r="D29" s="45" t="s">
        <v>54</v>
      </c>
      <c r="E29" s="17" t="s">
        <v>25</v>
      </c>
      <c r="F29" s="18" t="s">
        <v>48</v>
      </c>
      <c r="G29" s="16" t="s">
        <v>48</v>
      </c>
      <c r="H29" s="16" t="s">
        <v>48</v>
      </c>
      <c r="I29" s="18" t="s">
        <v>48</v>
      </c>
      <c r="J29" s="18" t="s">
        <v>48</v>
      </c>
      <c r="K29" s="18" t="s">
        <v>48</v>
      </c>
      <c r="L29" s="18" t="s">
        <v>48</v>
      </c>
      <c r="M29" s="18" t="s">
        <v>48</v>
      </c>
      <c r="N29" s="18" t="s">
        <v>48</v>
      </c>
      <c r="O29" s="14" t="s">
        <v>62</v>
      </c>
    </row>
    <row r="30" spans="1:15" ht="45">
      <c r="A30" s="85"/>
      <c r="B30" s="25" t="s">
        <v>32</v>
      </c>
      <c r="C30" s="23" t="s">
        <v>63</v>
      </c>
      <c r="D30" s="45" t="s">
        <v>54</v>
      </c>
      <c r="E30" s="17" t="s">
        <v>25</v>
      </c>
      <c r="F30" s="18" t="s">
        <v>48</v>
      </c>
      <c r="G30" s="16" t="s">
        <v>48</v>
      </c>
      <c r="H30" s="16" t="s">
        <v>48</v>
      </c>
      <c r="I30" s="18" t="s">
        <v>48</v>
      </c>
      <c r="J30" s="18" t="s">
        <v>48</v>
      </c>
      <c r="K30" s="18" t="s">
        <v>48</v>
      </c>
      <c r="L30" s="18" t="s">
        <v>48</v>
      </c>
      <c r="M30" s="18" t="s">
        <v>48</v>
      </c>
      <c r="N30" s="18" t="s">
        <v>48</v>
      </c>
      <c r="O30" s="14" t="s">
        <v>57</v>
      </c>
    </row>
    <row r="31" spans="1:15" ht="60">
      <c r="A31" s="85"/>
      <c r="B31" s="25" t="s">
        <v>33</v>
      </c>
      <c r="C31" s="15" t="s">
        <v>64</v>
      </c>
      <c r="D31" s="45" t="s">
        <v>54</v>
      </c>
      <c r="E31" s="17" t="s">
        <v>25</v>
      </c>
      <c r="F31" s="16" t="s">
        <v>48</v>
      </c>
      <c r="G31" s="16" t="s">
        <v>48</v>
      </c>
      <c r="H31" s="16" t="s">
        <v>48</v>
      </c>
      <c r="I31" s="18" t="s">
        <v>48</v>
      </c>
      <c r="J31" s="16" t="s">
        <v>48</v>
      </c>
      <c r="K31" s="16" t="s">
        <v>48</v>
      </c>
      <c r="L31" s="18" t="s">
        <v>48</v>
      </c>
      <c r="M31" s="16" t="s">
        <v>48</v>
      </c>
      <c r="N31" s="16" t="s">
        <v>48</v>
      </c>
      <c r="O31" s="14" t="s">
        <v>65</v>
      </c>
    </row>
    <row r="32" spans="1:15" ht="45">
      <c r="A32" s="85"/>
      <c r="B32" s="25" t="s">
        <v>34</v>
      </c>
      <c r="C32" s="23" t="s">
        <v>66</v>
      </c>
      <c r="D32" s="45" t="s">
        <v>54</v>
      </c>
      <c r="E32" s="17" t="s">
        <v>25</v>
      </c>
      <c r="F32" s="16" t="s">
        <v>48</v>
      </c>
      <c r="G32" s="16" t="s">
        <v>48</v>
      </c>
      <c r="H32" s="16" t="s">
        <v>48</v>
      </c>
      <c r="I32" s="18" t="s">
        <v>48</v>
      </c>
      <c r="J32" s="16" t="s">
        <v>48</v>
      </c>
      <c r="K32" s="16" t="s">
        <v>48</v>
      </c>
      <c r="L32" s="18" t="s">
        <v>48</v>
      </c>
      <c r="M32" s="16" t="s">
        <v>48</v>
      </c>
      <c r="N32" s="16" t="s">
        <v>48</v>
      </c>
      <c r="O32" s="14" t="s">
        <v>57</v>
      </c>
    </row>
    <row r="33" spans="1:15" ht="17.399999999999999">
      <c r="A33" s="85"/>
      <c r="B33" s="96" t="s">
        <v>67</v>
      </c>
      <c r="C33" s="97"/>
      <c r="D33" s="98"/>
      <c r="E33" s="10" t="str">
        <f t="shared" ref="E33:N33" si="2">DEC2HEX(E32*128+E31*64+E30*32+E29*16+E28*8+E27*4+E26*2+E25*1)</f>
        <v>0</v>
      </c>
      <c r="F33" s="11" t="str">
        <f t="shared" si="2"/>
        <v>FB</v>
      </c>
      <c r="G33" s="11" t="str">
        <f t="shared" si="2"/>
        <v>FB</v>
      </c>
      <c r="H33" s="11" t="str">
        <f t="shared" si="2"/>
        <v>FB</v>
      </c>
      <c r="I33" s="12" t="str">
        <f t="shared" si="2"/>
        <v>FB</v>
      </c>
      <c r="J33" s="10" t="str">
        <f t="shared" si="2"/>
        <v>FB</v>
      </c>
      <c r="K33" s="13" t="str">
        <f t="shared" si="2"/>
        <v>FB</v>
      </c>
      <c r="L33" s="12" t="str">
        <f t="shared" si="2"/>
        <v>FB</v>
      </c>
      <c r="M33" s="12" t="str">
        <f t="shared" si="2"/>
        <v>FB</v>
      </c>
      <c r="N33" s="12" t="str">
        <f t="shared" si="2"/>
        <v>FB</v>
      </c>
      <c r="O33" s="8"/>
    </row>
    <row r="34" spans="1:15" ht="45">
      <c r="A34" s="85"/>
      <c r="B34" s="25" t="s">
        <v>22</v>
      </c>
      <c r="C34" s="47" t="s">
        <v>68</v>
      </c>
      <c r="D34" s="26" t="s">
        <v>54</v>
      </c>
      <c r="E34" s="17" t="s">
        <v>25</v>
      </c>
      <c r="F34" s="16" t="s">
        <v>48</v>
      </c>
      <c r="G34" s="16" t="s">
        <v>48</v>
      </c>
      <c r="H34" s="16" t="s">
        <v>48</v>
      </c>
      <c r="I34" s="16" t="s">
        <v>48</v>
      </c>
      <c r="J34" s="16" t="s">
        <v>48</v>
      </c>
      <c r="K34" s="16" t="s">
        <v>48</v>
      </c>
      <c r="L34" s="16" t="s">
        <v>48</v>
      </c>
      <c r="M34" s="16" t="s">
        <v>48</v>
      </c>
      <c r="N34" s="16" t="s">
        <v>48</v>
      </c>
      <c r="O34" s="14" t="s">
        <v>57</v>
      </c>
    </row>
    <row r="35" spans="1:15" ht="45">
      <c r="A35" s="85"/>
      <c r="B35" s="25" t="s">
        <v>26</v>
      </c>
      <c r="C35" s="24" t="s">
        <v>69</v>
      </c>
      <c r="D35" s="26" t="s">
        <v>54</v>
      </c>
      <c r="E35" s="17" t="s">
        <v>25</v>
      </c>
      <c r="F35" s="16" t="s">
        <v>48</v>
      </c>
      <c r="G35" s="16" t="s">
        <v>48</v>
      </c>
      <c r="H35" s="16" t="s">
        <v>48</v>
      </c>
      <c r="I35" s="16" t="s">
        <v>48</v>
      </c>
      <c r="J35" s="16" t="s">
        <v>48</v>
      </c>
      <c r="K35" s="16" t="s">
        <v>48</v>
      </c>
      <c r="L35" s="16" t="s">
        <v>48</v>
      </c>
      <c r="M35" s="16" t="s">
        <v>48</v>
      </c>
      <c r="N35" s="16" t="s">
        <v>48</v>
      </c>
      <c r="O35" s="14" t="s">
        <v>57</v>
      </c>
    </row>
    <row r="36" spans="1:15" ht="45">
      <c r="A36" s="85"/>
      <c r="B36" s="25" t="s">
        <v>27</v>
      </c>
      <c r="C36" s="24" t="s">
        <v>70</v>
      </c>
      <c r="D36" s="26" t="s">
        <v>54</v>
      </c>
      <c r="E36" s="17" t="s">
        <v>25</v>
      </c>
      <c r="F36" s="16" t="s">
        <v>25</v>
      </c>
      <c r="G36" s="16" t="s">
        <v>25</v>
      </c>
      <c r="H36" s="16" t="s">
        <v>25</v>
      </c>
      <c r="I36" s="16" t="s">
        <v>48</v>
      </c>
      <c r="J36" s="16" t="s">
        <v>48</v>
      </c>
      <c r="K36" s="16" t="s">
        <v>48</v>
      </c>
      <c r="L36" s="16" t="s">
        <v>48</v>
      </c>
      <c r="M36" s="16" t="s">
        <v>48</v>
      </c>
      <c r="N36" s="16" t="s">
        <v>48</v>
      </c>
      <c r="O36" s="14" t="s">
        <v>57</v>
      </c>
    </row>
    <row r="37" spans="1:15" ht="45">
      <c r="A37" s="85"/>
      <c r="B37" s="25" t="s">
        <v>28</v>
      </c>
      <c r="C37" s="24" t="s">
        <v>71</v>
      </c>
      <c r="D37" s="26" t="s">
        <v>54</v>
      </c>
      <c r="E37" s="17" t="s">
        <v>25</v>
      </c>
      <c r="F37" s="16" t="s">
        <v>25</v>
      </c>
      <c r="G37" s="16" t="s">
        <v>48</v>
      </c>
      <c r="H37" s="16" t="s">
        <v>48</v>
      </c>
      <c r="I37" s="16" t="s">
        <v>48</v>
      </c>
      <c r="J37" s="16" t="s">
        <v>48</v>
      </c>
      <c r="K37" s="16" t="s">
        <v>48</v>
      </c>
      <c r="L37" s="16" t="s">
        <v>48</v>
      </c>
      <c r="M37" s="16" t="s">
        <v>48</v>
      </c>
      <c r="N37" s="16" t="s">
        <v>48</v>
      </c>
      <c r="O37" s="14" t="s">
        <v>57</v>
      </c>
    </row>
    <row r="38" spans="1:15" ht="30">
      <c r="A38" s="85"/>
      <c r="B38" s="25" t="s">
        <v>29</v>
      </c>
      <c r="C38" s="47" t="s">
        <v>72</v>
      </c>
      <c r="D38" s="26" t="s">
        <v>54</v>
      </c>
      <c r="E38" s="16" t="s">
        <v>48</v>
      </c>
      <c r="F38" s="16" t="s">
        <v>48</v>
      </c>
      <c r="G38" s="16" t="s">
        <v>48</v>
      </c>
      <c r="H38" s="16" t="s">
        <v>48</v>
      </c>
      <c r="I38" s="16" t="s">
        <v>48</v>
      </c>
      <c r="J38" s="16" t="s">
        <v>48</v>
      </c>
      <c r="K38" s="16" t="s">
        <v>48</v>
      </c>
      <c r="L38" s="16" t="s">
        <v>48</v>
      </c>
      <c r="M38" s="16" t="s">
        <v>48</v>
      </c>
      <c r="N38" s="16" t="s">
        <v>48</v>
      </c>
      <c r="O38" s="14" t="s">
        <v>73</v>
      </c>
    </row>
    <row r="39" spans="1:15" ht="26.4">
      <c r="A39" s="85"/>
      <c r="B39" s="25" t="s">
        <v>32</v>
      </c>
      <c r="C39" s="24" t="s">
        <v>263</v>
      </c>
      <c r="D39" s="26" t="s">
        <v>54</v>
      </c>
      <c r="E39" s="17" t="s">
        <v>25</v>
      </c>
      <c r="F39" s="16" t="s">
        <v>262</v>
      </c>
      <c r="G39" s="16" t="s">
        <v>48</v>
      </c>
      <c r="H39" s="16" t="s">
        <v>48</v>
      </c>
      <c r="I39" s="16" t="s">
        <v>48</v>
      </c>
      <c r="J39" s="16" t="s">
        <v>48</v>
      </c>
      <c r="K39" s="16" t="s">
        <v>48</v>
      </c>
      <c r="L39" s="16" t="s">
        <v>48</v>
      </c>
      <c r="M39" s="16" t="s">
        <v>48</v>
      </c>
      <c r="N39" s="16" t="s">
        <v>48</v>
      </c>
      <c r="O39" s="8"/>
    </row>
    <row r="40" spans="1:15">
      <c r="A40" s="85"/>
      <c r="B40" s="25" t="s">
        <v>33</v>
      </c>
      <c r="C40" s="47" t="s">
        <v>51</v>
      </c>
      <c r="D40" s="26"/>
      <c r="E40" s="17"/>
      <c r="F40" s="16"/>
      <c r="G40" s="16"/>
      <c r="H40" s="16"/>
      <c r="I40" s="18"/>
      <c r="J40" s="17"/>
      <c r="K40" s="19"/>
      <c r="L40" s="18"/>
      <c r="M40" s="20"/>
      <c r="N40" s="19"/>
      <c r="O40" s="8"/>
    </row>
    <row r="41" spans="1:15">
      <c r="A41" s="85"/>
      <c r="B41" s="25" t="s">
        <v>34</v>
      </c>
      <c r="C41" s="47" t="s">
        <v>51</v>
      </c>
      <c r="D41" s="26"/>
      <c r="E41" s="17"/>
      <c r="F41" s="16"/>
      <c r="G41" s="16"/>
      <c r="H41" s="16"/>
      <c r="I41" s="18"/>
      <c r="J41" s="17"/>
      <c r="K41" s="19"/>
      <c r="L41" s="18"/>
      <c r="M41" s="20"/>
      <c r="N41" s="19"/>
      <c r="O41" s="8"/>
    </row>
    <row r="42" spans="1:15" ht="17.399999999999999">
      <c r="A42" s="85"/>
      <c r="B42" s="96" t="s">
        <v>74</v>
      </c>
      <c r="C42" s="97"/>
      <c r="D42" s="98"/>
      <c r="E42" s="10" t="str">
        <f t="shared" ref="E42:N42" si="3">DEC2HEX(E41*128+E40*64+E39*32+E38*16+E37*8+E36*4+E35*2+E34*1)</f>
        <v>10</v>
      </c>
      <c r="F42" s="11" t="str">
        <f t="shared" si="3"/>
        <v>33</v>
      </c>
      <c r="G42" s="11" t="str">
        <f t="shared" si="3"/>
        <v>3B</v>
      </c>
      <c r="H42" s="11" t="str">
        <f t="shared" si="3"/>
        <v>3B</v>
      </c>
      <c r="I42" s="12" t="str">
        <f t="shared" si="3"/>
        <v>3F</v>
      </c>
      <c r="J42" s="10" t="str">
        <f t="shared" si="3"/>
        <v>3F</v>
      </c>
      <c r="K42" s="13" t="str">
        <f t="shared" si="3"/>
        <v>3F</v>
      </c>
      <c r="L42" s="12" t="str">
        <f t="shared" si="3"/>
        <v>3F</v>
      </c>
      <c r="M42" s="12" t="str">
        <f t="shared" si="3"/>
        <v>3F</v>
      </c>
      <c r="N42" s="12" t="str">
        <f t="shared" si="3"/>
        <v>3F</v>
      </c>
      <c r="O42" s="8"/>
    </row>
    <row r="43" spans="1:15" ht="45">
      <c r="A43" s="85"/>
      <c r="B43" s="25" t="s">
        <v>22</v>
      </c>
      <c r="C43" s="24" t="s">
        <v>75</v>
      </c>
      <c r="D43" s="26" t="s">
        <v>54</v>
      </c>
      <c r="E43" s="17" t="s">
        <v>25</v>
      </c>
      <c r="F43" s="16" t="s">
        <v>262</v>
      </c>
      <c r="G43" s="16" t="s">
        <v>48</v>
      </c>
      <c r="H43" s="16" t="s">
        <v>48</v>
      </c>
      <c r="I43" s="16" t="s">
        <v>48</v>
      </c>
      <c r="J43" s="16" t="s">
        <v>48</v>
      </c>
      <c r="K43" s="16" t="s">
        <v>48</v>
      </c>
      <c r="L43" s="16" t="s">
        <v>48</v>
      </c>
      <c r="M43" s="16" t="s">
        <v>48</v>
      </c>
      <c r="N43" s="16" t="s">
        <v>48</v>
      </c>
      <c r="O43" s="14" t="s">
        <v>57</v>
      </c>
    </row>
    <row r="44" spans="1:15" ht="45">
      <c r="A44" s="85"/>
      <c r="B44" s="25" t="s">
        <v>26</v>
      </c>
      <c r="C44" s="108" t="s">
        <v>76</v>
      </c>
      <c r="D44" s="110" t="s">
        <v>77</v>
      </c>
      <c r="E44" s="93" t="s">
        <v>25</v>
      </c>
      <c r="F44" s="99" t="s">
        <v>39</v>
      </c>
      <c r="G44" s="99" t="s">
        <v>39</v>
      </c>
      <c r="H44" s="99" t="s">
        <v>39</v>
      </c>
      <c r="I44" s="99" t="s">
        <v>39</v>
      </c>
      <c r="J44" s="99" t="s">
        <v>39</v>
      </c>
      <c r="K44" s="99" t="s">
        <v>39</v>
      </c>
      <c r="L44" s="99" t="s">
        <v>39</v>
      </c>
      <c r="M44" s="99" t="s">
        <v>39</v>
      </c>
      <c r="N44" s="99" t="s">
        <v>39</v>
      </c>
      <c r="O44" s="14" t="s">
        <v>57</v>
      </c>
    </row>
    <row r="45" spans="1:15">
      <c r="A45" s="85"/>
      <c r="B45" s="25" t="s">
        <v>27</v>
      </c>
      <c r="C45" s="109"/>
      <c r="D45" s="111"/>
      <c r="E45" s="95"/>
      <c r="F45" s="100"/>
      <c r="G45" s="100"/>
      <c r="H45" s="100"/>
      <c r="I45" s="100"/>
      <c r="J45" s="100"/>
      <c r="K45" s="100"/>
      <c r="L45" s="100"/>
      <c r="M45" s="100"/>
      <c r="N45" s="100"/>
      <c r="O45" s="8"/>
    </row>
    <row r="46" spans="1:15" ht="45">
      <c r="A46" s="85"/>
      <c r="B46" s="25" t="s">
        <v>28</v>
      </c>
      <c r="C46" s="24" t="s">
        <v>78</v>
      </c>
      <c r="D46" s="26" t="s">
        <v>54</v>
      </c>
      <c r="E46" s="17" t="s">
        <v>25</v>
      </c>
      <c r="F46" s="16" t="s">
        <v>48</v>
      </c>
      <c r="G46" s="16" t="s">
        <v>48</v>
      </c>
      <c r="H46" s="16" t="s">
        <v>48</v>
      </c>
      <c r="I46" s="16" t="s">
        <v>48</v>
      </c>
      <c r="J46" s="16" t="s">
        <v>48</v>
      </c>
      <c r="K46" s="16" t="s">
        <v>48</v>
      </c>
      <c r="L46" s="16" t="s">
        <v>48</v>
      </c>
      <c r="M46" s="16" t="s">
        <v>48</v>
      </c>
      <c r="N46" s="16" t="s">
        <v>48</v>
      </c>
      <c r="O46" s="14" t="s">
        <v>57</v>
      </c>
    </row>
    <row r="47" spans="1:15" ht="45">
      <c r="A47" s="85"/>
      <c r="B47" s="25" t="s">
        <v>29</v>
      </c>
      <c r="C47" s="24" t="s">
        <v>79</v>
      </c>
      <c r="D47" s="26" t="s">
        <v>54</v>
      </c>
      <c r="E47" s="17" t="s">
        <v>25</v>
      </c>
      <c r="F47" s="16" t="s">
        <v>48</v>
      </c>
      <c r="G47" s="16" t="s">
        <v>48</v>
      </c>
      <c r="H47" s="16" t="s">
        <v>48</v>
      </c>
      <c r="I47" s="16" t="s">
        <v>48</v>
      </c>
      <c r="J47" s="16" t="s">
        <v>48</v>
      </c>
      <c r="K47" s="16" t="s">
        <v>48</v>
      </c>
      <c r="L47" s="16" t="s">
        <v>48</v>
      </c>
      <c r="M47" s="16" t="s">
        <v>48</v>
      </c>
      <c r="N47" s="16" t="s">
        <v>48</v>
      </c>
      <c r="O47" s="14" t="s">
        <v>57</v>
      </c>
    </row>
    <row r="48" spans="1:15" ht="45">
      <c r="A48" s="85"/>
      <c r="B48" s="25" t="s">
        <v>32</v>
      </c>
      <c r="C48" s="15" t="s">
        <v>80</v>
      </c>
      <c r="D48" s="26" t="s">
        <v>54</v>
      </c>
      <c r="E48" s="17" t="s">
        <v>25</v>
      </c>
      <c r="F48" s="16" t="s">
        <v>48</v>
      </c>
      <c r="G48" s="16" t="s">
        <v>48</v>
      </c>
      <c r="H48" s="16" t="s">
        <v>48</v>
      </c>
      <c r="I48" s="16" t="s">
        <v>48</v>
      </c>
      <c r="J48" s="16" t="s">
        <v>48</v>
      </c>
      <c r="K48" s="16" t="s">
        <v>48</v>
      </c>
      <c r="L48" s="16" t="s">
        <v>48</v>
      </c>
      <c r="M48" s="16" t="s">
        <v>48</v>
      </c>
      <c r="N48" s="16" t="s">
        <v>48</v>
      </c>
      <c r="O48" s="14" t="s">
        <v>57</v>
      </c>
    </row>
    <row r="49" spans="1:15" ht="26.4">
      <c r="A49" s="85"/>
      <c r="B49" s="25" t="s">
        <v>33</v>
      </c>
      <c r="C49" s="15" t="s">
        <v>276</v>
      </c>
      <c r="D49" s="26" t="s">
        <v>54</v>
      </c>
      <c r="E49" s="17" t="s">
        <v>25</v>
      </c>
      <c r="F49" s="17" t="s">
        <v>25</v>
      </c>
      <c r="G49" s="17" t="s">
        <v>25</v>
      </c>
      <c r="H49" s="17" t="s">
        <v>25</v>
      </c>
      <c r="I49" s="17" t="s">
        <v>25</v>
      </c>
      <c r="J49" s="17" t="s">
        <v>25</v>
      </c>
      <c r="K49" s="17" t="s">
        <v>25</v>
      </c>
      <c r="L49" s="17" t="s">
        <v>25</v>
      </c>
      <c r="M49" s="20" t="s">
        <v>262</v>
      </c>
      <c r="N49" s="19" t="s">
        <v>262</v>
      </c>
      <c r="O49" s="8"/>
    </row>
    <row r="50" spans="1:15">
      <c r="A50" s="85"/>
      <c r="B50" s="25" t="s">
        <v>34</v>
      </c>
      <c r="C50" s="47" t="s">
        <v>51</v>
      </c>
      <c r="D50" s="45"/>
      <c r="E50" s="17"/>
      <c r="F50" s="16"/>
      <c r="G50" s="16"/>
      <c r="H50" s="16"/>
      <c r="I50" s="18"/>
      <c r="J50" s="17"/>
      <c r="K50" s="19"/>
      <c r="L50" s="18"/>
      <c r="M50" s="20"/>
      <c r="N50" s="19"/>
      <c r="O50" s="8"/>
    </row>
    <row r="51" spans="1:15" ht="17.399999999999999">
      <c r="A51" s="85"/>
      <c r="B51" s="96" t="s">
        <v>81</v>
      </c>
      <c r="C51" s="97"/>
      <c r="D51" s="98"/>
      <c r="E51" s="10" t="str">
        <f t="shared" ref="E51:N51" si="4">DEC2HEX(E50*128+E49*64+E48*32+E47*16+E46*8+E44*2+E43*1)</f>
        <v>0</v>
      </c>
      <c r="F51" s="11" t="str">
        <f t="shared" si="4"/>
        <v>3D</v>
      </c>
      <c r="G51" s="11" t="str">
        <f t="shared" si="4"/>
        <v>3D</v>
      </c>
      <c r="H51" s="11" t="str">
        <f t="shared" si="4"/>
        <v>3D</v>
      </c>
      <c r="I51" s="12" t="str">
        <f t="shared" si="4"/>
        <v>3D</v>
      </c>
      <c r="J51" s="10" t="str">
        <f t="shared" si="4"/>
        <v>3D</v>
      </c>
      <c r="K51" s="13" t="str">
        <f t="shared" si="4"/>
        <v>3D</v>
      </c>
      <c r="L51" s="13" t="str">
        <f t="shared" si="4"/>
        <v>3D</v>
      </c>
      <c r="M51" s="13" t="str">
        <f t="shared" si="4"/>
        <v>7D</v>
      </c>
      <c r="N51" s="13" t="str">
        <f t="shared" si="4"/>
        <v>7D</v>
      </c>
      <c r="O51" s="8"/>
    </row>
    <row r="52" spans="1:15">
      <c r="A52" s="85"/>
      <c r="B52" s="53" t="s">
        <v>22</v>
      </c>
      <c r="C52" s="87" t="s">
        <v>82</v>
      </c>
      <c r="D52" s="112" t="s">
        <v>83</v>
      </c>
      <c r="E52" s="93" t="s">
        <v>40</v>
      </c>
      <c r="F52" s="93" t="s">
        <v>40</v>
      </c>
      <c r="G52" s="93" t="s">
        <v>40</v>
      </c>
      <c r="H52" s="93" t="s">
        <v>40</v>
      </c>
      <c r="I52" s="93" t="s">
        <v>40</v>
      </c>
      <c r="J52" s="93" t="s">
        <v>40</v>
      </c>
      <c r="K52" s="93" t="s">
        <v>40</v>
      </c>
      <c r="L52" s="93" t="s">
        <v>40</v>
      </c>
      <c r="M52" s="93" t="s">
        <v>40</v>
      </c>
      <c r="N52" s="93" t="s">
        <v>40</v>
      </c>
      <c r="O52" s="8" t="s">
        <v>84</v>
      </c>
    </row>
    <row r="53" spans="1:15">
      <c r="A53" s="85"/>
      <c r="B53" s="53" t="s">
        <v>26</v>
      </c>
      <c r="C53" s="89"/>
      <c r="D53" s="113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8" t="s">
        <v>84</v>
      </c>
    </row>
    <row r="54" spans="1:15" ht="26.4">
      <c r="A54" s="85"/>
      <c r="B54" s="53" t="s">
        <v>27</v>
      </c>
      <c r="C54" s="15" t="s">
        <v>85</v>
      </c>
      <c r="D54" s="26" t="s">
        <v>54</v>
      </c>
      <c r="E54" s="17" t="s">
        <v>25</v>
      </c>
      <c r="F54" s="16" t="s">
        <v>25</v>
      </c>
      <c r="G54" s="16" t="s">
        <v>25</v>
      </c>
      <c r="H54" s="16" t="s">
        <v>25</v>
      </c>
      <c r="I54" s="18" t="s">
        <v>25</v>
      </c>
      <c r="J54" s="17" t="s">
        <v>25</v>
      </c>
      <c r="K54" s="19" t="s">
        <v>25</v>
      </c>
      <c r="L54" s="18" t="s">
        <v>25</v>
      </c>
      <c r="M54" s="18" t="s">
        <v>25</v>
      </c>
      <c r="N54" s="18" t="s">
        <v>25</v>
      </c>
      <c r="O54" s="8" t="s">
        <v>84</v>
      </c>
    </row>
    <row r="55" spans="1:15" ht="26.4">
      <c r="A55" s="85"/>
      <c r="B55" s="53" t="s">
        <v>28</v>
      </c>
      <c r="C55" s="15" t="s">
        <v>86</v>
      </c>
      <c r="D55" s="26" t="s">
        <v>54</v>
      </c>
      <c r="E55" s="17" t="s">
        <v>25</v>
      </c>
      <c r="F55" s="17" t="s">
        <v>25</v>
      </c>
      <c r="G55" s="17" t="s">
        <v>25</v>
      </c>
      <c r="H55" s="17" t="s">
        <v>25</v>
      </c>
      <c r="I55" s="17" t="s">
        <v>25</v>
      </c>
      <c r="J55" s="17" t="s">
        <v>25</v>
      </c>
      <c r="K55" s="17" t="s">
        <v>25</v>
      </c>
      <c r="L55" s="17" t="s">
        <v>25</v>
      </c>
      <c r="M55" s="17" t="s">
        <v>25</v>
      </c>
      <c r="N55" s="17" t="s">
        <v>25</v>
      </c>
      <c r="O55" s="8" t="s">
        <v>84</v>
      </c>
    </row>
    <row r="56" spans="1:15" ht="26.4">
      <c r="A56" s="85"/>
      <c r="B56" s="53" t="s">
        <v>29</v>
      </c>
      <c r="C56" s="15" t="s">
        <v>87</v>
      </c>
      <c r="D56" s="26" t="s">
        <v>54</v>
      </c>
      <c r="E56" s="17" t="s">
        <v>48</v>
      </c>
      <c r="F56" s="16" t="s">
        <v>48</v>
      </c>
      <c r="G56" s="16" t="s">
        <v>48</v>
      </c>
      <c r="H56" s="16" t="s">
        <v>48</v>
      </c>
      <c r="I56" s="18" t="s">
        <v>48</v>
      </c>
      <c r="J56" s="17" t="s">
        <v>48</v>
      </c>
      <c r="K56" s="19" t="s">
        <v>48</v>
      </c>
      <c r="L56" s="18" t="s">
        <v>48</v>
      </c>
      <c r="M56" s="18" t="s">
        <v>48</v>
      </c>
      <c r="N56" s="18" t="s">
        <v>48</v>
      </c>
      <c r="O56" s="8" t="s">
        <v>84</v>
      </c>
    </row>
    <row r="57" spans="1:15" ht="26.4">
      <c r="A57" s="85"/>
      <c r="B57" s="53" t="s">
        <v>32</v>
      </c>
      <c r="C57" s="15" t="s">
        <v>88</v>
      </c>
      <c r="D57" s="26" t="s">
        <v>54</v>
      </c>
      <c r="E57" s="17" t="s">
        <v>48</v>
      </c>
      <c r="F57" s="16" t="s">
        <v>48</v>
      </c>
      <c r="G57" s="16" t="s">
        <v>48</v>
      </c>
      <c r="H57" s="16" t="s">
        <v>48</v>
      </c>
      <c r="I57" s="18" t="s">
        <v>48</v>
      </c>
      <c r="J57" s="17" t="s">
        <v>48</v>
      </c>
      <c r="K57" s="19" t="s">
        <v>48</v>
      </c>
      <c r="L57" s="18" t="s">
        <v>48</v>
      </c>
      <c r="M57" s="18" t="s">
        <v>48</v>
      </c>
      <c r="N57" s="18" t="s">
        <v>48</v>
      </c>
      <c r="O57" s="8" t="s">
        <v>84</v>
      </c>
    </row>
    <row r="58" spans="1:15" ht="30">
      <c r="A58" s="85"/>
      <c r="B58" s="53" t="s">
        <v>33</v>
      </c>
      <c r="C58" s="15" t="s">
        <v>89</v>
      </c>
      <c r="D58" s="26" t="s">
        <v>54</v>
      </c>
      <c r="E58" s="17" t="s">
        <v>48</v>
      </c>
      <c r="F58" s="16" t="s">
        <v>48</v>
      </c>
      <c r="G58" s="16" t="s">
        <v>48</v>
      </c>
      <c r="H58" s="16" t="s">
        <v>48</v>
      </c>
      <c r="I58" s="18" t="s">
        <v>48</v>
      </c>
      <c r="J58" s="17" t="s">
        <v>48</v>
      </c>
      <c r="K58" s="16" t="s">
        <v>48</v>
      </c>
      <c r="L58" s="18" t="s">
        <v>48</v>
      </c>
      <c r="M58" s="18" t="s">
        <v>48</v>
      </c>
      <c r="N58" s="18" t="s">
        <v>48</v>
      </c>
      <c r="O58" s="14" t="s">
        <v>90</v>
      </c>
    </row>
    <row r="59" spans="1:15" ht="30">
      <c r="A59" s="85"/>
      <c r="B59" s="53" t="s">
        <v>34</v>
      </c>
      <c r="C59" s="15" t="s">
        <v>91</v>
      </c>
      <c r="D59" s="45" t="s">
        <v>92</v>
      </c>
      <c r="E59" s="17" t="s">
        <v>48</v>
      </c>
      <c r="F59" s="17" t="s">
        <v>48</v>
      </c>
      <c r="G59" s="17" t="s">
        <v>48</v>
      </c>
      <c r="H59" s="17" t="s">
        <v>48</v>
      </c>
      <c r="I59" s="17" t="s">
        <v>48</v>
      </c>
      <c r="J59" s="17" t="s">
        <v>48</v>
      </c>
      <c r="K59" s="17" t="s">
        <v>48</v>
      </c>
      <c r="L59" s="17" t="s">
        <v>48</v>
      </c>
      <c r="M59" s="17" t="s">
        <v>48</v>
      </c>
      <c r="N59" s="17" t="s">
        <v>48</v>
      </c>
      <c r="O59" s="8" t="s">
        <v>84</v>
      </c>
    </row>
    <row r="60" spans="1:15" ht="17.399999999999999">
      <c r="A60" s="85"/>
      <c r="B60" s="96" t="s">
        <v>93</v>
      </c>
      <c r="C60" s="97"/>
      <c r="D60" s="98"/>
      <c r="E60" s="10" t="str">
        <f t="shared" ref="E60:N60" si="5">DEC2HEX(E59*128+E58*64+E57*32+E56*16+E55*8+E54*4+E53*2+E52*1)</f>
        <v>F3</v>
      </c>
      <c r="F60" s="11" t="str">
        <f t="shared" si="5"/>
        <v>F3</v>
      </c>
      <c r="G60" s="11" t="str">
        <f t="shared" si="5"/>
        <v>F3</v>
      </c>
      <c r="H60" s="11" t="str">
        <f t="shared" si="5"/>
        <v>F3</v>
      </c>
      <c r="I60" s="12" t="str">
        <f t="shared" si="5"/>
        <v>F3</v>
      </c>
      <c r="J60" s="10" t="str">
        <f t="shared" si="5"/>
        <v>F3</v>
      </c>
      <c r="K60" s="13" t="str">
        <f t="shared" si="5"/>
        <v>F3</v>
      </c>
      <c r="L60" s="12" t="str">
        <f t="shared" si="5"/>
        <v>F3</v>
      </c>
      <c r="M60" s="12" t="str">
        <f t="shared" si="5"/>
        <v>F3</v>
      </c>
      <c r="N60" s="12" t="str">
        <f t="shared" si="5"/>
        <v>F3</v>
      </c>
      <c r="O60" s="8"/>
    </row>
    <row r="61" spans="1:15" ht="30">
      <c r="A61" s="85"/>
      <c r="B61" s="53" t="s">
        <v>22</v>
      </c>
      <c r="C61" s="15" t="s">
        <v>94</v>
      </c>
      <c r="D61" s="45" t="s">
        <v>95</v>
      </c>
      <c r="E61" s="17" t="s">
        <v>25</v>
      </c>
      <c r="F61" s="16" t="s">
        <v>25</v>
      </c>
      <c r="G61" s="16" t="s">
        <v>25</v>
      </c>
      <c r="H61" s="16" t="s">
        <v>25</v>
      </c>
      <c r="I61" s="18" t="s">
        <v>25</v>
      </c>
      <c r="J61" s="17" t="s">
        <v>25</v>
      </c>
      <c r="K61" s="19" t="s">
        <v>25</v>
      </c>
      <c r="L61" s="18" t="s">
        <v>25</v>
      </c>
      <c r="M61" s="18" t="s">
        <v>25</v>
      </c>
      <c r="N61" s="18" t="s">
        <v>25</v>
      </c>
      <c r="O61" s="8" t="s">
        <v>96</v>
      </c>
    </row>
    <row r="62" spans="1:15" ht="26.4">
      <c r="A62" s="85"/>
      <c r="B62" s="53" t="s">
        <v>26</v>
      </c>
      <c r="C62" s="15" t="s">
        <v>97</v>
      </c>
      <c r="D62" s="26" t="s">
        <v>54</v>
      </c>
      <c r="E62" s="17" t="s">
        <v>25</v>
      </c>
      <c r="F62" s="16" t="s">
        <v>25</v>
      </c>
      <c r="G62" s="16" t="s">
        <v>25</v>
      </c>
      <c r="H62" s="16" t="s">
        <v>25</v>
      </c>
      <c r="I62" s="18" t="s">
        <v>25</v>
      </c>
      <c r="J62" s="17" t="s">
        <v>25</v>
      </c>
      <c r="K62" s="19" t="s">
        <v>25</v>
      </c>
      <c r="L62" s="18" t="s">
        <v>25</v>
      </c>
      <c r="M62" s="18" t="s">
        <v>25</v>
      </c>
      <c r="N62" s="18" t="s">
        <v>25</v>
      </c>
      <c r="O62" s="8" t="s">
        <v>96</v>
      </c>
    </row>
    <row r="63" spans="1:15">
      <c r="A63" s="85"/>
      <c r="B63" s="53" t="s">
        <v>27</v>
      </c>
      <c r="C63" s="87" t="s">
        <v>98</v>
      </c>
      <c r="D63" s="90" t="s">
        <v>99</v>
      </c>
      <c r="E63" s="93" t="s">
        <v>39</v>
      </c>
      <c r="F63" s="99" t="s">
        <v>39</v>
      </c>
      <c r="G63" s="99" t="s">
        <v>39</v>
      </c>
      <c r="H63" s="99" t="s">
        <v>39</v>
      </c>
      <c r="I63" s="101" t="s">
        <v>39</v>
      </c>
      <c r="J63" s="93" t="s">
        <v>39</v>
      </c>
      <c r="K63" s="114" t="s">
        <v>39</v>
      </c>
      <c r="L63" s="101" t="s">
        <v>39</v>
      </c>
      <c r="M63" s="101" t="s">
        <v>39</v>
      </c>
      <c r="N63" s="101" t="s">
        <v>39</v>
      </c>
      <c r="O63" s="8" t="s">
        <v>96</v>
      </c>
    </row>
    <row r="64" spans="1:15">
      <c r="A64" s="85"/>
      <c r="B64" s="53" t="s">
        <v>28</v>
      </c>
      <c r="C64" s="89"/>
      <c r="D64" s="92"/>
      <c r="E64" s="95"/>
      <c r="F64" s="100"/>
      <c r="G64" s="100"/>
      <c r="H64" s="100"/>
      <c r="I64" s="103"/>
      <c r="J64" s="95"/>
      <c r="K64" s="115"/>
      <c r="L64" s="103"/>
      <c r="M64" s="103"/>
      <c r="N64" s="103"/>
      <c r="O64" s="8"/>
    </row>
    <row r="65" spans="1:15">
      <c r="A65" s="85"/>
      <c r="B65" s="53" t="s">
        <v>29</v>
      </c>
      <c r="C65" s="87" t="s">
        <v>100</v>
      </c>
      <c r="D65" s="90" t="s">
        <v>275</v>
      </c>
      <c r="E65" s="93" t="s">
        <v>44</v>
      </c>
      <c r="F65" s="93" t="s">
        <v>44</v>
      </c>
      <c r="G65" s="93" t="s">
        <v>44</v>
      </c>
      <c r="H65" s="93" t="s">
        <v>44</v>
      </c>
      <c r="I65" s="93" t="s">
        <v>44</v>
      </c>
      <c r="J65" s="93" t="s">
        <v>44</v>
      </c>
      <c r="K65" s="93" t="s">
        <v>44</v>
      </c>
      <c r="L65" s="93" t="s">
        <v>44</v>
      </c>
      <c r="M65" s="93" t="s">
        <v>44</v>
      </c>
      <c r="N65" s="93" t="s">
        <v>44</v>
      </c>
      <c r="O65" s="8" t="s">
        <v>96</v>
      </c>
    </row>
    <row r="66" spans="1:15">
      <c r="A66" s="85"/>
      <c r="B66" s="53" t="s">
        <v>32</v>
      </c>
      <c r="C66" s="88"/>
      <c r="D66" s="91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8"/>
    </row>
    <row r="67" spans="1:15">
      <c r="A67" s="85"/>
      <c r="B67" s="53" t="s">
        <v>33</v>
      </c>
      <c r="C67" s="89"/>
      <c r="D67" s="92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8"/>
    </row>
    <row r="68" spans="1:15" ht="26.4">
      <c r="A68" s="85"/>
      <c r="B68" s="25" t="s">
        <v>34</v>
      </c>
      <c r="C68" s="33" t="s">
        <v>101</v>
      </c>
      <c r="D68" s="26" t="s">
        <v>54</v>
      </c>
      <c r="E68" s="17" t="s">
        <v>48</v>
      </c>
      <c r="F68" s="16" t="s">
        <v>48</v>
      </c>
      <c r="G68" s="16" t="s">
        <v>48</v>
      </c>
      <c r="H68" s="16" t="s">
        <v>48</v>
      </c>
      <c r="I68" s="18" t="s">
        <v>48</v>
      </c>
      <c r="J68" s="17" t="s">
        <v>48</v>
      </c>
      <c r="K68" s="19" t="s">
        <v>48</v>
      </c>
      <c r="L68" s="18" t="s">
        <v>48</v>
      </c>
      <c r="M68" s="18" t="s">
        <v>48</v>
      </c>
      <c r="N68" s="18" t="s">
        <v>48</v>
      </c>
      <c r="O68" s="8" t="s">
        <v>96</v>
      </c>
    </row>
    <row r="69" spans="1:15" ht="17.399999999999999">
      <c r="A69" s="85"/>
      <c r="B69" s="96" t="s">
        <v>102</v>
      </c>
      <c r="C69" s="97"/>
      <c r="D69" s="98"/>
      <c r="E69" s="10" t="str">
        <f t="shared" ref="E69:N69" si="6">DEC2HEX(E68*128+E65*16+E63*4+E62*2+E61*1)</f>
        <v>C8</v>
      </c>
      <c r="F69" s="11" t="str">
        <f t="shared" si="6"/>
        <v>C8</v>
      </c>
      <c r="G69" s="11" t="str">
        <f t="shared" si="6"/>
        <v>C8</v>
      </c>
      <c r="H69" s="11" t="str">
        <f t="shared" si="6"/>
        <v>C8</v>
      </c>
      <c r="I69" s="12" t="str">
        <f t="shared" si="6"/>
        <v>C8</v>
      </c>
      <c r="J69" s="10" t="str">
        <f t="shared" si="6"/>
        <v>C8</v>
      </c>
      <c r="K69" s="13" t="str">
        <f t="shared" si="6"/>
        <v>C8</v>
      </c>
      <c r="L69" s="12" t="str">
        <f t="shared" si="6"/>
        <v>C8</v>
      </c>
      <c r="M69" s="12" t="str">
        <f t="shared" si="6"/>
        <v>C8</v>
      </c>
      <c r="N69" s="12" t="str">
        <f t="shared" si="6"/>
        <v>C8</v>
      </c>
      <c r="O69" s="8"/>
    </row>
    <row r="70" spans="1:15" ht="60">
      <c r="A70" s="85"/>
      <c r="B70" s="53" t="s">
        <v>22</v>
      </c>
      <c r="C70" s="15" t="s">
        <v>103</v>
      </c>
      <c r="D70" s="26" t="s">
        <v>54</v>
      </c>
      <c r="E70" s="17" t="s">
        <v>25</v>
      </c>
      <c r="F70" s="16" t="s">
        <v>25</v>
      </c>
      <c r="G70" s="18" t="s">
        <v>48</v>
      </c>
      <c r="H70" s="18" t="s">
        <v>48</v>
      </c>
      <c r="I70" s="18" t="s">
        <v>48</v>
      </c>
      <c r="J70" s="18" t="s">
        <v>48</v>
      </c>
      <c r="K70" s="18" t="s">
        <v>48</v>
      </c>
      <c r="L70" s="18" t="s">
        <v>48</v>
      </c>
      <c r="M70" s="18" t="s">
        <v>48</v>
      </c>
      <c r="N70" s="18" t="s">
        <v>48</v>
      </c>
      <c r="O70" s="14" t="s">
        <v>104</v>
      </c>
    </row>
    <row r="71" spans="1:15" ht="26.4">
      <c r="A71" s="85"/>
      <c r="B71" s="53" t="s">
        <v>26</v>
      </c>
      <c r="C71" s="15" t="s">
        <v>105</v>
      </c>
      <c r="D71" s="26" t="s">
        <v>54</v>
      </c>
      <c r="E71" s="17" t="s">
        <v>25</v>
      </c>
      <c r="F71" s="16" t="s">
        <v>25</v>
      </c>
      <c r="G71" s="16" t="s">
        <v>25</v>
      </c>
      <c r="H71" s="16" t="s">
        <v>25</v>
      </c>
      <c r="I71" s="18" t="s">
        <v>48</v>
      </c>
      <c r="J71" s="18" t="s">
        <v>48</v>
      </c>
      <c r="K71" s="18" t="s">
        <v>48</v>
      </c>
      <c r="L71" s="18" t="s">
        <v>48</v>
      </c>
      <c r="M71" s="18" t="s">
        <v>48</v>
      </c>
      <c r="N71" s="18" t="s">
        <v>48</v>
      </c>
      <c r="O71" s="8" t="s">
        <v>96</v>
      </c>
    </row>
    <row r="72" spans="1:15" ht="26.4">
      <c r="A72" s="85"/>
      <c r="B72" s="25" t="s">
        <v>27</v>
      </c>
      <c r="C72" s="33" t="s">
        <v>106</v>
      </c>
      <c r="D72" s="26" t="s">
        <v>54</v>
      </c>
      <c r="E72" s="17" t="s">
        <v>48</v>
      </c>
      <c r="F72" s="17" t="s">
        <v>48</v>
      </c>
      <c r="G72" s="17" t="s">
        <v>48</v>
      </c>
      <c r="H72" s="17" t="s">
        <v>48</v>
      </c>
      <c r="I72" s="17" t="s">
        <v>48</v>
      </c>
      <c r="J72" s="17" t="s">
        <v>48</v>
      </c>
      <c r="K72" s="17" t="s">
        <v>48</v>
      </c>
      <c r="L72" s="17" t="s">
        <v>48</v>
      </c>
      <c r="M72" s="17" t="s">
        <v>48</v>
      </c>
      <c r="N72" s="17" t="s">
        <v>48</v>
      </c>
      <c r="O72" s="8" t="s">
        <v>107</v>
      </c>
    </row>
    <row r="73" spans="1:15" ht="26.4">
      <c r="A73" s="85"/>
      <c r="B73" s="53" t="s">
        <v>28</v>
      </c>
      <c r="C73" s="15" t="s">
        <v>108</v>
      </c>
      <c r="D73" s="26" t="s">
        <v>54</v>
      </c>
      <c r="E73" s="17" t="s">
        <v>25</v>
      </c>
      <c r="F73" s="17" t="s">
        <v>25</v>
      </c>
      <c r="G73" s="17" t="s">
        <v>25</v>
      </c>
      <c r="H73" s="17" t="s">
        <v>25</v>
      </c>
      <c r="I73" s="17" t="s">
        <v>25</v>
      </c>
      <c r="J73" s="17" t="s">
        <v>25</v>
      </c>
      <c r="K73" s="17" t="s">
        <v>25</v>
      </c>
      <c r="L73" s="17" t="s">
        <v>25</v>
      </c>
      <c r="M73" s="17" t="s">
        <v>25</v>
      </c>
      <c r="N73" s="17" t="s">
        <v>25</v>
      </c>
      <c r="O73" s="8" t="s">
        <v>96</v>
      </c>
    </row>
    <row r="74" spans="1:15" ht="26.4">
      <c r="A74" s="85"/>
      <c r="B74" s="53" t="s">
        <v>29</v>
      </c>
      <c r="C74" s="15" t="s">
        <v>109</v>
      </c>
      <c r="D74" s="26" t="s">
        <v>54</v>
      </c>
      <c r="E74" s="27" t="s">
        <v>48</v>
      </c>
      <c r="F74" s="27" t="s">
        <v>48</v>
      </c>
      <c r="G74" s="27" t="s">
        <v>48</v>
      </c>
      <c r="H74" s="27" t="s">
        <v>48</v>
      </c>
      <c r="I74" s="27" t="s">
        <v>48</v>
      </c>
      <c r="J74" s="27" t="s">
        <v>48</v>
      </c>
      <c r="K74" s="27" t="s">
        <v>48</v>
      </c>
      <c r="L74" s="27" t="s">
        <v>48</v>
      </c>
      <c r="M74" s="27" t="s">
        <v>48</v>
      </c>
      <c r="N74" s="27" t="s">
        <v>48</v>
      </c>
      <c r="O74" s="28" t="s">
        <v>96</v>
      </c>
    </row>
    <row r="75" spans="1:15" ht="60">
      <c r="A75" s="85"/>
      <c r="B75" s="53" t="s">
        <v>32</v>
      </c>
      <c r="C75" s="108" t="s">
        <v>112</v>
      </c>
      <c r="D75" s="110" t="s">
        <v>113</v>
      </c>
      <c r="E75" s="93" t="s">
        <v>48</v>
      </c>
      <c r="F75" s="93" t="s">
        <v>48</v>
      </c>
      <c r="G75" s="93" t="s">
        <v>48</v>
      </c>
      <c r="H75" s="93" t="s">
        <v>48</v>
      </c>
      <c r="I75" s="93" t="s">
        <v>48</v>
      </c>
      <c r="J75" s="93" t="s">
        <v>48</v>
      </c>
      <c r="K75" s="93" t="s">
        <v>48</v>
      </c>
      <c r="L75" s="93" t="s">
        <v>48</v>
      </c>
      <c r="M75" s="93" t="s">
        <v>48</v>
      </c>
      <c r="N75" s="93" t="s">
        <v>48</v>
      </c>
      <c r="O75" s="14" t="s">
        <v>114</v>
      </c>
    </row>
    <row r="76" spans="1:15">
      <c r="A76" s="85"/>
      <c r="B76" s="53" t="s">
        <v>33</v>
      </c>
      <c r="C76" s="109"/>
      <c r="D76" s="111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8"/>
    </row>
    <row r="77" spans="1:15" ht="30">
      <c r="A77" s="85"/>
      <c r="B77" s="25" t="s">
        <v>34</v>
      </c>
      <c r="C77" s="33" t="s">
        <v>115</v>
      </c>
      <c r="D77" s="26" t="s">
        <v>54</v>
      </c>
      <c r="E77" s="21" t="s">
        <v>25</v>
      </c>
      <c r="F77" s="22" t="s">
        <v>48</v>
      </c>
      <c r="G77" s="22" t="s">
        <v>48</v>
      </c>
      <c r="H77" s="22" t="s">
        <v>48</v>
      </c>
      <c r="I77" s="22" t="s">
        <v>48</v>
      </c>
      <c r="J77" s="22" t="s">
        <v>48</v>
      </c>
      <c r="K77" s="22" t="s">
        <v>48</v>
      </c>
      <c r="L77" s="22" t="s">
        <v>48</v>
      </c>
      <c r="M77" s="22" t="s">
        <v>48</v>
      </c>
      <c r="N77" s="22" t="s">
        <v>48</v>
      </c>
      <c r="O77" s="14" t="s">
        <v>116</v>
      </c>
    </row>
    <row r="78" spans="1:15" ht="17.399999999999999">
      <c r="A78" s="85"/>
      <c r="B78" s="96" t="s">
        <v>117</v>
      </c>
      <c r="C78" s="97"/>
      <c r="D78" s="98"/>
      <c r="E78" s="10" t="str">
        <f t="shared" ref="E78:N78" si="7">DEC2HEX(E77*128+E75*32+E74*16+E73*8+E72*4+E71*2+E70*1)</f>
        <v>34</v>
      </c>
      <c r="F78" s="11" t="str">
        <f t="shared" si="7"/>
        <v>B4</v>
      </c>
      <c r="G78" s="11" t="str">
        <f t="shared" si="7"/>
        <v>B5</v>
      </c>
      <c r="H78" s="11" t="str">
        <f t="shared" si="7"/>
        <v>B5</v>
      </c>
      <c r="I78" s="12" t="str">
        <f t="shared" si="7"/>
        <v>B7</v>
      </c>
      <c r="J78" s="10" t="str">
        <f t="shared" si="7"/>
        <v>B7</v>
      </c>
      <c r="K78" s="13" t="str">
        <f t="shared" si="7"/>
        <v>B7</v>
      </c>
      <c r="L78" s="12" t="str">
        <f t="shared" si="7"/>
        <v>B7</v>
      </c>
      <c r="M78" s="12" t="str">
        <f t="shared" si="7"/>
        <v>B7</v>
      </c>
      <c r="N78" s="12" t="str">
        <f t="shared" si="7"/>
        <v>B7</v>
      </c>
      <c r="O78" s="8"/>
    </row>
    <row r="79" spans="1:15" ht="45">
      <c r="A79" s="85"/>
      <c r="B79" s="25" t="s">
        <v>22</v>
      </c>
      <c r="C79" s="33" t="s">
        <v>118</v>
      </c>
      <c r="D79" s="26" t="s">
        <v>54</v>
      </c>
      <c r="E79" s="17" t="s">
        <v>25</v>
      </c>
      <c r="F79" s="17" t="s">
        <v>25</v>
      </c>
      <c r="G79" s="17" t="s">
        <v>25</v>
      </c>
      <c r="H79" s="17" t="s">
        <v>25</v>
      </c>
      <c r="I79" s="17" t="s">
        <v>25</v>
      </c>
      <c r="J79" s="17" t="s">
        <v>25</v>
      </c>
      <c r="K79" s="17" t="s">
        <v>25</v>
      </c>
      <c r="L79" s="17" t="s">
        <v>25</v>
      </c>
      <c r="M79" s="17" t="s">
        <v>25</v>
      </c>
      <c r="N79" s="17" t="s">
        <v>25</v>
      </c>
      <c r="O79" s="14" t="s">
        <v>119</v>
      </c>
    </row>
    <row r="80" spans="1:15" ht="45">
      <c r="A80" s="85"/>
      <c r="B80" s="25" t="s">
        <v>26</v>
      </c>
      <c r="C80" s="33" t="s">
        <v>120</v>
      </c>
      <c r="D80" s="26" t="s">
        <v>54</v>
      </c>
      <c r="E80" s="17" t="s">
        <v>25</v>
      </c>
      <c r="F80" s="17" t="s">
        <v>25</v>
      </c>
      <c r="G80" s="17" t="s">
        <v>25</v>
      </c>
      <c r="H80" s="17" t="s">
        <v>25</v>
      </c>
      <c r="I80" s="17" t="s">
        <v>25</v>
      </c>
      <c r="J80" s="17" t="s">
        <v>25</v>
      </c>
      <c r="K80" s="17" t="s">
        <v>25</v>
      </c>
      <c r="L80" s="17" t="s">
        <v>25</v>
      </c>
      <c r="M80" s="17" t="s">
        <v>25</v>
      </c>
      <c r="N80" s="17" t="s">
        <v>25</v>
      </c>
      <c r="O80" s="14" t="s">
        <v>119</v>
      </c>
    </row>
    <row r="81" spans="1:15" ht="45">
      <c r="A81" s="85"/>
      <c r="B81" s="25" t="s">
        <v>27</v>
      </c>
      <c r="C81" s="33" t="s">
        <v>121</v>
      </c>
      <c r="D81" s="26" t="s">
        <v>54</v>
      </c>
      <c r="E81" s="17" t="s">
        <v>25</v>
      </c>
      <c r="F81" s="17" t="s">
        <v>25</v>
      </c>
      <c r="G81" s="17" t="s">
        <v>25</v>
      </c>
      <c r="H81" s="17" t="s">
        <v>25</v>
      </c>
      <c r="I81" s="17" t="s">
        <v>25</v>
      </c>
      <c r="J81" s="17" t="s">
        <v>25</v>
      </c>
      <c r="K81" s="17" t="s">
        <v>25</v>
      </c>
      <c r="L81" s="17" t="s">
        <v>25</v>
      </c>
      <c r="M81" s="17" t="s">
        <v>25</v>
      </c>
      <c r="N81" s="17" t="s">
        <v>25</v>
      </c>
      <c r="O81" s="14" t="s">
        <v>119</v>
      </c>
    </row>
    <row r="82" spans="1:15" ht="45">
      <c r="A82" s="85"/>
      <c r="B82" s="25" t="s">
        <v>28</v>
      </c>
      <c r="C82" s="33" t="s">
        <v>122</v>
      </c>
      <c r="D82" s="26" t="s">
        <v>54</v>
      </c>
      <c r="E82" s="17" t="s">
        <v>25</v>
      </c>
      <c r="F82" s="17" t="s">
        <v>25</v>
      </c>
      <c r="G82" s="17" t="s">
        <v>25</v>
      </c>
      <c r="H82" s="17" t="s">
        <v>25</v>
      </c>
      <c r="I82" s="17" t="s">
        <v>25</v>
      </c>
      <c r="J82" s="17" t="s">
        <v>25</v>
      </c>
      <c r="K82" s="17" t="s">
        <v>25</v>
      </c>
      <c r="L82" s="17" t="s">
        <v>25</v>
      </c>
      <c r="M82" s="17" t="s">
        <v>25</v>
      </c>
      <c r="N82" s="17" t="s">
        <v>25</v>
      </c>
      <c r="O82" s="14" t="s">
        <v>119</v>
      </c>
    </row>
    <row r="83" spans="1:15" ht="45">
      <c r="A83" s="85"/>
      <c r="B83" s="25" t="s">
        <v>29</v>
      </c>
      <c r="C83" s="33" t="s">
        <v>123</v>
      </c>
      <c r="D83" s="26" t="s">
        <v>54</v>
      </c>
      <c r="E83" s="17" t="s">
        <v>25</v>
      </c>
      <c r="F83" s="17" t="s">
        <v>25</v>
      </c>
      <c r="G83" s="17" t="s">
        <v>25</v>
      </c>
      <c r="H83" s="17" t="s">
        <v>25</v>
      </c>
      <c r="I83" s="17" t="s">
        <v>25</v>
      </c>
      <c r="J83" s="17" t="s">
        <v>25</v>
      </c>
      <c r="K83" s="17" t="s">
        <v>25</v>
      </c>
      <c r="L83" s="17" t="s">
        <v>25</v>
      </c>
      <c r="M83" s="17" t="s">
        <v>25</v>
      </c>
      <c r="N83" s="17" t="s">
        <v>25</v>
      </c>
      <c r="O83" s="14" t="s">
        <v>119</v>
      </c>
    </row>
    <row r="84" spans="1:15" ht="45">
      <c r="A84" s="85"/>
      <c r="B84" s="25" t="s">
        <v>32</v>
      </c>
      <c r="C84" s="33" t="s">
        <v>124</v>
      </c>
      <c r="D84" s="26" t="s">
        <v>54</v>
      </c>
      <c r="E84" s="17" t="s">
        <v>25</v>
      </c>
      <c r="F84" s="17" t="s">
        <v>25</v>
      </c>
      <c r="G84" s="17" t="s">
        <v>25</v>
      </c>
      <c r="H84" s="17" t="s">
        <v>25</v>
      </c>
      <c r="I84" s="17" t="s">
        <v>25</v>
      </c>
      <c r="J84" s="17" t="s">
        <v>25</v>
      </c>
      <c r="K84" s="17" t="s">
        <v>25</v>
      </c>
      <c r="L84" s="17" t="s">
        <v>25</v>
      </c>
      <c r="M84" s="17" t="s">
        <v>25</v>
      </c>
      <c r="N84" s="17" t="s">
        <v>25</v>
      </c>
      <c r="O84" s="14" t="s">
        <v>119</v>
      </c>
    </row>
    <row r="85" spans="1:15" ht="45">
      <c r="A85" s="85"/>
      <c r="B85" s="25" t="s">
        <v>33</v>
      </c>
      <c r="C85" s="33" t="s">
        <v>125</v>
      </c>
      <c r="D85" s="26" t="s">
        <v>54</v>
      </c>
      <c r="E85" s="17" t="s">
        <v>25</v>
      </c>
      <c r="F85" s="17" t="s">
        <v>25</v>
      </c>
      <c r="G85" s="17" t="s">
        <v>25</v>
      </c>
      <c r="H85" s="17" t="s">
        <v>25</v>
      </c>
      <c r="I85" s="17" t="s">
        <v>25</v>
      </c>
      <c r="J85" s="17" t="s">
        <v>25</v>
      </c>
      <c r="K85" s="17" t="s">
        <v>25</v>
      </c>
      <c r="L85" s="17" t="s">
        <v>25</v>
      </c>
      <c r="M85" s="17" t="s">
        <v>25</v>
      </c>
      <c r="N85" s="17" t="s">
        <v>25</v>
      </c>
      <c r="O85" s="14" t="s">
        <v>119</v>
      </c>
    </row>
    <row r="86" spans="1:15" ht="45">
      <c r="A86" s="85"/>
      <c r="B86" s="25" t="s">
        <v>34</v>
      </c>
      <c r="C86" s="33" t="s">
        <v>126</v>
      </c>
      <c r="D86" s="26" t="s">
        <v>54</v>
      </c>
      <c r="E86" s="17" t="s">
        <v>25</v>
      </c>
      <c r="F86" s="17" t="s">
        <v>25</v>
      </c>
      <c r="G86" s="17" t="s">
        <v>25</v>
      </c>
      <c r="H86" s="17" t="s">
        <v>25</v>
      </c>
      <c r="I86" s="17" t="s">
        <v>25</v>
      </c>
      <c r="J86" s="17" t="s">
        <v>25</v>
      </c>
      <c r="K86" s="17" t="s">
        <v>25</v>
      </c>
      <c r="L86" s="17" t="s">
        <v>25</v>
      </c>
      <c r="M86" s="17" t="s">
        <v>25</v>
      </c>
      <c r="N86" s="17" t="s">
        <v>25</v>
      </c>
      <c r="O86" s="14" t="s">
        <v>119</v>
      </c>
    </row>
    <row r="87" spans="1:15" ht="17.399999999999999">
      <c r="A87" s="85"/>
      <c r="B87" s="96" t="s">
        <v>127</v>
      </c>
      <c r="C87" s="97"/>
      <c r="D87" s="98"/>
      <c r="E87" s="10" t="str">
        <f t="shared" ref="E87:N87" si="8">DEC2HEX(E86*128+E85*64+E84*32+E83*16+E82*8+E81*4+E80*2+E79*1)</f>
        <v>0</v>
      </c>
      <c r="F87" s="11" t="str">
        <f t="shared" si="8"/>
        <v>0</v>
      </c>
      <c r="G87" s="11" t="str">
        <f t="shared" si="8"/>
        <v>0</v>
      </c>
      <c r="H87" s="11" t="str">
        <f t="shared" si="8"/>
        <v>0</v>
      </c>
      <c r="I87" s="12" t="str">
        <f t="shared" si="8"/>
        <v>0</v>
      </c>
      <c r="J87" s="10" t="str">
        <f t="shared" si="8"/>
        <v>0</v>
      </c>
      <c r="K87" s="13" t="str">
        <f t="shared" si="8"/>
        <v>0</v>
      </c>
      <c r="L87" s="12" t="str">
        <f t="shared" si="8"/>
        <v>0</v>
      </c>
      <c r="M87" s="12" t="str">
        <f t="shared" si="8"/>
        <v>0</v>
      </c>
      <c r="N87" s="12" t="str">
        <f t="shared" si="8"/>
        <v>0</v>
      </c>
      <c r="O87" s="8"/>
    </row>
    <row r="88" spans="1:15">
      <c r="A88" s="85"/>
      <c r="B88" s="53" t="s">
        <v>22</v>
      </c>
      <c r="C88" s="87" t="s">
        <v>128</v>
      </c>
      <c r="D88" s="110" t="s">
        <v>129</v>
      </c>
      <c r="E88" s="93" t="s">
        <v>40</v>
      </c>
      <c r="F88" s="99" t="s">
        <v>40</v>
      </c>
      <c r="G88" s="99" t="s">
        <v>40</v>
      </c>
      <c r="H88" s="99" t="s">
        <v>40</v>
      </c>
      <c r="I88" s="101" t="s">
        <v>40</v>
      </c>
      <c r="J88" s="93" t="s">
        <v>40</v>
      </c>
      <c r="K88" s="114" t="s">
        <v>40</v>
      </c>
      <c r="L88" s="101" t="s">
        <v>40</v>
      </c>
      <c r="M88" s="101" t="s">
        <v>40</v>
      </c>
      <c r="N88" s="101" t="s">
        <v>40</v>
      </c>
      <c r="O88" s="8" t="s">
        <v>130</v>
      </c>
    </row>
    <row r="89" spans="1:15">
      <c r="A89" s="85"/>
      <c r="B89" s="53" t="s">
        <v>26</v>
      </c>
      <c r="C89" s="88"/>
      <c r="D89" s="116"/>
      <c r="E89" s="94"/>
      <c r="F89" s="107"/>
      <c r="G89" s="107"/>
      <c r="H89" s="107"/>
      <c r="I89" s="102"/>
      <c r="J89" s="94"/>
      <c r="K89" s="117"/>
      <c r="L89" s="102"/>
      <c r="M89" s="102"/>
      <c r="N89" s="102"/>
      <c r="O89" s="8"/>
    </row>
    <row r="90" spans="1:15">
      <c r="A90" s="85"/>
      <c r="B90" s="53" t="s">
        <v>27</v>
      </c>
      <c r="C90" s="88"/>
      <c r="D90" s="116"/>
      <c r="E90" s="94"/>
      <c r="F90" s="107"/>
      <c r="G90" s="107"/>
      <c r="H90" s="107"/>
      <c r="I90" s="102"/>
      <c r="J90" s="94"/>
      <c r="K90" s="117"/>
      <c r="L90" s="102"/>
      <c r="M90" s="102"/>
      <c r="N90" s="102"/>
      <c r="O90" s="8"/>
    </row>
    <row r="91" spans="1:15">
      <c r="A91" s="85"/>
      <c r="B91" s="53" t="s">
        <v>28</v>
      </c>
      <c r="C91" s="89"/>
      <c r="D91" s="111"/>
      <c r="E91" s="95"/>
      <c r="F91" s="100"/>
      <c r="G91" s="100"/>
      <c r="H91" s="100"/>
      <c r="I91" s="103"/>
      <c r="J91" s="95"/>
      <c r="K91" s="115"/>
      <c r="L91" s="103"/>
      <c r="M91" s="103"/>
      <c r="N91" s="103"/>
      <c r="O91" s="8"/>
    </row>
    <row r="92" spans="1:15" ht="75">
      <c r="A92" s="85"/>
      <c r="B92" s="53" t="s">
        <v>29</v>
      </c>
      <c r="C92" s="87" t="s">
        <v>131</v>
      </c>
      <c r="D92" s="90" t="s">
        <v>264</v>
      </c>
      <c r="E92" s="93" t="s">
        <v>39</v>
      </c>
      <c r="F92" s="99" t="s">
        <v>39</v>
      </c>
      <c r="G92" s="99" t="s">
        <v>110</v>
      </c>
      <c r="H92" s="99" t="s">
        <v>110</v>
      </c>
      <c r="I92" s="101" t="s">
        <v>111</v>
      </c>
      <c r="J92" s="101" t="s">
        <v>111</v>
      </c>
      <c r="K92" s="101" t="s">
        <v>111</v>
      </c>
      <c r="L92" s="101" t="s">
        <v>111</v>
      </c>
      <c r="M92" s="101" t="s">
        <v>111</v>
      </c>
      <c r="N92" s="101" t="s">
        <v>111</v>
      </c>
      <c r="O92" s="14" t="s">
        <v>132</v>
      </c>
    </row>
    <row r="93" spans="1:15">
      <c r="A93" s="85"/>
      <c r="B93" s="53" t="s">
        <v>32</v>
      </c>
      <c r="C93" s="88"/>
      <c r="D93" s="91"/>
      <c r="E93" s="94"/>
      <c r="F93" s="107"/>
      <c r="G93" s="107"/>
      <c r="H93" s="107"/>
      <c r="I93" s="102"/>
      <c r="J93" s="102"/>
      <c r="K93" s="102"/>
      <c r="L93" s="102"/>
      <c r="M93" s="102"/>
      <c r="N93" s="102"/>
      <c r="O93" s="8"/>
    </row>
    <row r="94" spans="1:15">
      <c r="A94" s="85"/>
      <c r="B94" s="53" t="s">
        <v>33</v>
      </c>
      <c r="C94" s="89"/>
      <c r="D94" s="92"/>
      <c r="E94" s="95"/>
      <c r="F94" s="100"/>
      <c r="G94" s="100"/>
      <c r="H94" s="100"/>
      <c r="I94" s="103"/>
      <c r="J94" s="103"/>
      <c r="K94" s="103"/>
      <c r="L94" s="103"/>
      <c r="M94" s="103"/>
      <c r="N94" s="103"/>
      <c r="O94" s="8"/>
    </row>
    <row r="95" spans="1:15" ht="75">
      <c r="A95" s="85"/>
      <c r="B95" s="53" t="s">
        <v>34</v>
      </c>
      <c r="C95" s="9" t="s">
        <v>133</v>
      </c>
      <c r="D95" s="48" t="s">
        <v>134</v>
      </c>
      <c r="E95" s="17" t="s">
        <v>25</v>
      </c>
      <c r="F95" s="16" t="s">
        <v>25</v>
      </c>
      <c r="G95" s="16" t="s">
        <v>48</v>
      </c>
      <c r="H95" s="16" t="s">
        <v>48</v>
      </c>
      <c r="I95" s="18" t="s">
        <v>48</v>
      </c>
      <c r="J95" s="17" t="s">
        <v>48</v>
      </c>
      <c r="K95" s="19" t="s">
        <v>48</v>
      </c>
      <c r="L95" s="18" t="s">
        <v>48</v>
      </c>
      <c r="M95" s="20" t="s">
        <v>48</v>
      </c>
      <c r="N95" s="19" t="s">
        <v>48</v>
      </c>
      <c r="O95" s="14" t="s">
        <v>132</v>
      </c>
    </row>
    <row r="96" spans="1:15" ht="17.399999999999999">
      <c r="A96" s="85"/>
      <c r="B96" s="96" t="s">
        <v>135</v>
      </c>
      <c r="C96" s="97"/>
      <c r="D96" s="98"/>
      <c r="E96" s="10" t="str">
        <f t="shared" ref="E96:N96" si="9">DEC2HEX(E95*128+E92*16+E88*1)</f>
        <v>23</v>
      </c>
      <c r="F96" s="11" t="str">
        <f t="shared" si="9"/>
        <v>23</v>
      </c>
      <c r="G96" s="11" t="str">
        <f t="shared" si="9"/>
        <v>E3</v>
      </c>
      <c r="H96" s="11" t="str">
        <f t="shared" si="9"/>
        <v>E3</v>
      </c>
      <c r="I96" s="12" t="str">
        <f t="shared" si="9"/>
        <v>F3</v>
      </c>
      <c r="J96" s="10" t="str">
        <f t="shared" si="9"/>
        <v>F3</v>
      </c>
      <c r="K96" s="13" t="str">
        <f t="shared" si="9"/>
        <v>F3</v>
      </c>
      <c r="L96" s="12" t="str">
        <f t="shared" si="9"/>
        <v>F3</v>
      </c>
      <c r="M96" s="12" t="str">
        <f t="shared" si="9"/>
        <v>F3</v>
      </c>
      <c r="N96" s="12" t="str">
        <f t="shared" si="9"/>
        <v>F3</v>
      </c>
      <c r="O96" s="8"/>
    </row>
    <row r="97" spans="1:15" ht="30">
      <c r="A97" s="85"/>
      <c r="B97" s="53" t="s">
        <v>22</v>
      </c>
      <c r="C97" s="15" t="s">
        <v>136</v>
      </c>
      <c r="D97" s="45" t="s">
        <v>54</v>
      </c>
      <c r="E97" s="27" t="s">
        <v>25</v>
      </c>
      <c r="F97" s="27" t="s">
        <v>25</v>
      </c>
      <c r="G97" s="27" t="s">
        <v>25</v>
      </c>
      <c r="H97" s="27" t="s">
        <v>25</v>
      </c>
      <c r="I97" s="27" t="s">
        <v>25</v>
      </c>
      <c r="J97" s="27" t="s">
        <v>25</v>
      </c>
      <c r="K97" s="27" t="s">
        <v>25</v>
      </c>
      <c r="L97" s="27" t="s">
        <v>25</v>
      </c>
      <c r="M97" s="27" t="s">
        <v>25</v>
      </c>
      <c r="N97" s="27" t="s">
        <v>25</v>
      </c>
      <c r="O97" s="8" t="s">
        <v>96</v>
      </c>
    </row>
    <row r="98" spans="1:15" ht="45">
      <c r="A98" s="85"/>
      <c r="B98" s="53" t="s">
        <v>26</v>
      </c>
      <c r="C98" s="15" t="s">
        <v>137</v>
      </c>
      <c r="D98" s="45" t="s">
        <v>54</v>
      </c>
      <c r="E98" s="17" t="s">
        <v>48</v>
      </c>
      <c r="F98" s="16" t="s">
        <v>48</v>
      </c>
      <c r="G98" s="16" t="s">
        <v>48</v>
      </c>
      <c r="H98" s="16" t="s">
        <v>48</v>
      </c>
      <c r="I98" s="18" t="s">
        <v>48</v>
      </c>
      <c r="J98" s="17" t="s">
        <v>48</v>
      </c>
      <c r="K98" s="19" t="s">
        <v>48</v>
      </c>
      <c r="L98" s="18" t="s">
        <v>48</v>
      </c>
      <c r="M98" s="18" t="s">
        <v>48</v>
      </c>
      <c r="N98" s="18" t="s">
        <v>48</v>
      </c>
      <c r="O98" s="14" t="s">
        <v>138</v>
      </c>
    </row>
    <row r="99" spans="1:15" ht="30">
      <c r="A99" s="85"/>
      <c r="B99" s="53" t="s">
        <v>27</v>
      </c>
      <c r="C99" s="15" t="s">
        <v>139</v>
      </c>
      <c r="D99" s="45" t="s">
        <v>54</v>
      </c>
      <c r="E99" s="17" t="s">
        <v>48</v>
      </c>
      <c r="F99" s="16" t="s">
        <v>48</v>
      </c>
      <c r="G99" s="16" t="s">
        <v>48</v>
      </c>
      <c r="H99" s="16" t="s">
        <v>48</v>
      </c>
      <c r="I99" s="18" t="s">
        <v>48</v>
      </c>
      <c r="J99" s="17" t="s">
        <v>48</v>
      </c>
      <c r="K99" s="19" t="s">
        <v>48</v>
      </c>
      <c r="L99" s="18" t="s">
        <v>48</v>
      </c>
      <c r="M99" s="18" t="s">
        <v>48</v>
      </c>
      <c r="N99" s="18" t="s">
        <v>48</v>
      </c>
      <c r="O99" s="8" t="s">
        <v>140</v>
      </c>
    </row>
    <row r="100" spans="1:15" ht="60">
      <c r="A100" s="85"/>
      <c r="B100" s="53" t="s">
        <v>28</v>
      </c>
      <c r="C100" s="15" t="s">
        <v>141</v>
      </c>
      <c r="D100" s="45" t="s">
        <v>54</v>
      </c>
      <c r="E100" s="17" t="s">
        <v>25</v>
      </c>
      <c r="F100" s="16" t="s">
        <v>25</v>
      </c>
      <c r="G100" s="18" t="s">
        <v>48</v>
      </c>
      <c r="H100" s="18" t="s">
        <v>48</v>
      </c>
      <c r="I100" s="18" t="s">
        <v>48</v>
      </c>
      <c r="J100" s="18" t="s">
        <v>48</v>
      </c>
      <c r="K100" s="18" t="s">
        <v>48</v>
      </c>
      <c r="L100" s="18" t="s">
        <v>48</v>
      </c>
      <c r="M100" s="18" t="s">
        <v>48</v>
      </c>
      <c r="N100" s="18" t="s">
        <v>48</v>
      </c>
      <c r="O100" s="14" t="s">
        <v>142</v>
      </c>
    </row>
    <row r="101" spans="1:15" ht="105">
      <c r="A101" s="85"/>
      <c r="B101" s="53" t="s">
        <v>29</v>
      </c>
      <c r="C101" s="15" t="s">
        <v>143</v>
      </c>
      <c r="D101" s="45" t="s">
        <v>54</v>
      </c>
      <c r="E101" s="17" t="s">
        <v>25</v>
      </c>
      <c r="F101" s="16" t="s">
        <v>25</v>
      </c>
      <c r="G101" s="18" t="s">
        <v>48</v>
      </c>
      <c r="H101" s="18" t="s">
        <v>48</v>
      </c>
      <c r="I101" s="18" t="s">
        <v>48</v>
      </c>
      <c r="J101" s="18" t="s">
        <v>48</v>
      </c>
      <c r="K101" s="18" t="s">
        <v>48</v>
      </c>
      <c r="L101" s="18" t="s">
        <v>48</v>
      </c>
      <c r="M101" s="18" t="s">
        <v>48</v>
      </c>
      <c r="N101" s="18" t="s">
        <v>48</v>
      </c>
      <c r="O101" s="14" t="s">
        <v>144</v>
      </c>
    </row>
    <row r="102" spans="1:15" ht="30">
      <c r="A102" s="85"/>
      <c r="B102" s="53" t="s">
        <v>32</v>
      </c>
      <c r="C102" s="15" t="s">
        <v>145</v>
      </c>
      <c r="D102" s="45" t="s">
        <v>54</v>
      </c>
      <c r="E102" s="17" t="s">
        <v>48</v>
      </c>
      <c r="F102" s="16" t="s">
        <v>48</v>
      </c>
      <c r="G102" s="16" t="s">
        <v>48</v>
      </c>
      <c r="H102" s="16" t="s">
        <v>48</v>
      </c>
      <c r="I102" s="18" t="s">
        <v>48</v>
      </c>
      <c r="J102" s="17" t="s">
        <v>48</v>
      </c>
      <c r="K102" s="19" t="s">
        <v>48</v>
      </c>
      <c r="L102" s="18" t="s">
        <v>48</v>
      </c>
      <c r="M102" s="18" t="s">
        <v>48</v>
      </c>
      <c r="N102" s="18" t="s">
        <v>48</v>
      </c>
      <c r="O102" s="8" t="s">
        <v>140</v>
      </c>
    </row>
    <row r="103" spans="1:15" ht="30">
      <c r="A103" s="85"/>
      <c r="B103" s="53" t="s">
        <v>33</v>
      </c>
      <c r="C103" s="15" t="s">
        <v>146</v>
      </c>
      <c r="D103" s="45" t="s">
        <v>54</v>
      </c>
      <c r="E103" s="17" t="s">
        <v>48</v>
      </c>
      <c r="F103" s="16" t="s">
        <v>48</v>
      </c>
      <c r="G103" s="16" t="s">
        <v>48</v>
      </c>
      <c r="H103" s="16" t="s">
        <v>48</v>
      </c>
      <c r="I103" s="18" t="s">
        <v>48</v>
      </c>
      <c r="J103" s="17" t="s">
        <v>48</v>
      </c>
      <c r="K103" s="16" t="s">
        <v>48</v>
      </c>
      <c r="L103" s="18" t="s">
        <v>48</v>
      </c>
      <c r="M103" s="18" t="s">
        <v>48</v>
      </c>
      <c r="N103" s="18" t="s">
        <v>48</v>
      </c>
      <c r="O103" s="8" t="s">
        <v>140</v>
      </c>
    </row>
    <row r="104" spans="1:15" ht="30">
      <c r="A104" s="85"/>
      <c r="B104" s="53" t="s">
        <v>34</v>
      </c>
      <c r="C104" s="15" t="s">
        <v>147</v>
      </c>
      <c r="D104" s="45" t="s">
        <v>54</v>
      </c>
      <c r="E104" s="17" t="s">
        <v>25</v>
      </c>
      <c r="F104" s="16" t="s">
        <v>25</v>
      </c>
      <c r="G104" s="16" t="s">
        <v>25</v>
      </c>
      <c r="H104" s="16" t="s">
        <v>25</v>
      </c>
      <c r="I104" s="18" t="s">
        <v>25</v>
      </c>
      <c r="J104" s="17" t="s">
        <v>25</v>
      </c>
      <c r="K104" s="19" t="s">
        <v>25</v>
      </c>
      <c r="L104" s="18" t="s">
        <v>25</v>
      </c>
      <c r="M104" s="18" t="s">
        <v>25</v>
      </c>
      <c r="N104" s="18" t="s">
        <v>25</v>
      </c>
      <c r="O104" s="8" t="s">
        <v>140</v>
      </c>
    </row>
    <row r="105" spans="1:15" ht="17.399999999999999">
      <c r="A105" s="85"/>
      <c r="B105" s="96" t="s">
        <v>148</v>
      </c>
      <c r="C105" s="97"/>
      <c r="D105" s="98"/>
      <c r="E105" s="10" t="str">
        <f t="shared" ref="E105:N105" si="10">DEC2HEX(E104*128+E103*64+E102*32+E101*16+E100*8+E99*4+E98*2+E97*1)</f>
        <v>66</v>
      </c>
      <c r="F105" s="11" t="str">
        <f t="shared" si="10"/>
        <v>66</v>
      </c>
      <c r="G105" s="11" t="str">
        <f t="shared" si="10"/>
        <v>7E</v>
      </c>
      <c r="H105" s="11" t="str">
        <f t="shared" si="10"/>
        <v>7E</v>
      </c>
      <c r="I105" s="12" t="str">
        <f t="shared" si="10"/>
        <v>7E</v>
      </c>
      <c r="J105" s="10" t="str">
        <f t="shared" si="10"/>
        <v>7E</v>
      </c>
      <c r="K105" s="11" t="str">
        <f t="shared" si="10"/>
        <v>7E</v>
      </c>
      <c r="L105" s="12" t="str">
        <f t="shared" si="10"/>
        <v>7E</v>
      </c>
      <c r="M105" s="12" t="str">
        <f t="shared" si="10"/>
        <v>7E</v>
      </c>
      <c r="N105" s="12" t="str">
        <f t="shared" si="10"/>
        <v>7E</v>
      </c>
      <c r="O105" s="8"/>
    </row>
    <row r="106" spans="1:15" ht="60">
      <c r="A106" s="85"/>
      <c r="B106" s="53" t="s">
        <v>22</v>
      </c>
      <c r="C106" s="15" t="s">
        <v>149</v>
      </c>
      <c r="D106" s="45" t="s">
        <v>54</v>
      </c>
      <c r="E106" s="17" t="s">
        <v>25</v>
      </c>
      <c r="F106" s="17" t="s">
        <v>25</v>
      </c>
      <c r="G106" s="18" t="s">
        <v>48</v>
      </c>
      <c r="H106" s="27" t="s">
        <v>48</v>
      </c>
      <c r="I106" s="29" t="s">
        <v>48</v>
      </c>
      <c r="J106" s="30" t="s">
        <v>48</v>
      </c>
      <c r="K106" s="29" t="s">
        <v>48</v>
      </c>
      <c r="L106" s="29" t="s">
        <v>48</v>
      </c>
      <c r="M106" s="29" t="s">
        <v>48</v>
      </c>
      <c r="N106" s="29" t="s">
        <v>48</v>
      </c>
      <c r="O106" s="14" t="s">
        <v>150</v>
      </c>
    </row>
    <row r="107" spans="1:15" ht="60">
      <c r="A107" s="85"/>
      <c r="B107" s="53" t="s">
        <v>26</v>
      </c>
      <c r="C107" s="15" t="s">
        <v>151</v>
      </c>
      <c r="D107" s="45" t="s">
        <v>54</v>
      </c>
      <c r="E107" s="17" t="s">
        <v>25</v>
      </c>
      <c r="F107" s="16" t="s">
        <v>25</v>
      </c>
      <c r="G107" s="16" t="s">
        <v>25</v>
      </c>
      <c r="H107" s="16" t="s">
        <v>48</v>
      </c>
      <c r="I107" s="18" t="s">
        <v>272</v>
      </c>
      <c r="J107" s="27" t="s">
        <v>48</v>
      </c>
      <c r="K107" s="29" t="s">
        <v>272</v>
      </c>
      <c r="L107" s="30" t="s">
        <v>48</v>
      </c>
      <c r="M107" s="31" t="s">
        <v>48</v>
      </c>
      <c r="N107" s="29" t="s">
        <v>48</v>
      </c>
      <c r="O107" s="14" t="s">
        <v>150</v>
      </c>
    </row>
    <row r="108" spans="1:15" ht="30">
      <c r="A108" s="85"/>
      <c r="B108" s="53" t="s">
        <v>27</v>
      </c>
      <c r="C108" s="15" t="s">
        <v>152</v>
      </c>
      <c r="D108" s="45" t="s">
        <v>54</v>
      </c>
      <c r="E108" s="17" t="s">
        <v>25</v>
      </c>
      <c r="F108" s="16" t="s">
        <v>25</v>
      </c>
      <c r="G108" s="16" t="s">
        <v>25</v>
      </c>
      <c r="H108" s="16" t="s">
        <v>25</v>
      </c>
      <c r="I108" s="18" t="s">
        <v>25</v>
      </c>
      <c r="J108" s="17" t="s">
        <v>25</v>
      </c>
      <c r="K108" s="16" t="s">
        <v>25</v>
      </c>
      <c r="L108" s="18" t="s">
        <v>25</v>
      </c>
      <c r="M108" s="20" t="s">
        <v>25</v>
      </c>
      <c r="N108" s="19" t="s">
        <v>25</v>
      </c>
      <c r="O108" s="8" t="s">
        <v>140</v>
      </c>
    </row>
    <row r="109" spans="1:15" ht="30">
      <c r="A109" s="85"/>
      <c r="B109" s="53" t="s">
        <v>28</v>
      </c>
      <c r="C109" s="15" t="s">
        <v>153</v>
      </c>
      <c r="D109" s="45" t="s">
        <v>54</v>
      </c>
      <c r="E109" s="17" t="s">
        <v>25</v>
      </c>
      <c r="F109" s="16" t="s">
        <v>25</v>
      </c>
      <c r="G109" s="16" t="s">
        <v>25</v>
      </c>
      <c r="H109" s="16" t="s">
        <v>25</v>
      </c>
      <c r="I109" s="18" t="s">
        <v>25</v>
      </c>
      <c r="J109" s="17" t="s">
        <v>25</v>
      </c>
      <c r="K109" s="19" t="s">
        <v>25</v>
      </c>
      <c r="L109" s="18" t="s">
        <v>25</v>
      </c>
      <c r="M109" s="20" t="s">
        <v>25</v>
      </c>
      <c r="N109" s="19" t="s">
        <v>25</v>
      </c>
      <c r="O109" s="8" t="s">
        <v>140</v>
      </c>
    </row>
    <row r="110" spans="1:15" ht="30">
      <c r="A110" s="85"/>
      <c r="B110" s="53" t="s">
        <v>29</v>
      </c>
      <c r="C110" s="54" t="s">
        <v>154</v>
      </c>
      <c r="D110" s="45" t="s">
        <v>54</v>
      </c>
      <c r="E110" s="17" t="s">
        <v>25</v>
      </c>
      <c r="F110" s="16" t="s">
        <v>25</v>
      </c>
      <c r="G110" s="16" t="s">
        <v>25</v>
      </c>
      <c r="H110" s="27" t="s">
        <v>155</v>
      </c>
      <c r="I110" s="18" t="s">
        <v>25</v>
      </c>
      <c r="J110" s="27" t="s">
        <v>155</v>
      </c>
      <c r="K110" s="29" t="s">
        <v>156</v>
      </c>
      <c r="L110" s="30" t="s">
        <v>155</v>
      </c>
      <c r="M110" s="18" t="s">
        <v>155</v>
      </c>
      <c r="N110" s="29" t="s">
        <v>155</v>
      </c>
      <c r="O110" s="32" t="s">
        <v>157</v>
      </c>
    </row>
    <row r="111" spans="1:15">
      <c r="A111" s="85"/>
      <c r="B111" s="25" t="s">
        <v>32</v>
      </c>
      <c r="C111" s="33" t="s">
        <v>51</v>
      </c>
      <c r="D111" s="45" t="s">
        <v>51</v>
      </c>
      <c r="E111" s="17"/>
      <c r="F111" s="16"/>
      <c r="G111" s="16"/>
      <c r="H111" s="16"/>
      <c r="I111" s="18"/>
      <c r="J111" s="27"/>
      <c r="K111" s="29"/>
      <c r="L111" s="30"/>
      <c r="M111" s="31"/>
      <c r="N111" s="29"/>
      <c r="O111" s="8"/>
    </row>
    <row r="112" spans="1:15">
      <c r="A112" s="85"/>
      <c r="B112" s="25" t="s">
        <v>33</v>
      </c>
      <c r="C112" s="33" t="s">
        <v>51</v>
      </c>
      <c r="D112" s="45" t="s">
        <v>51</v>
      </c>
      <c r="E112" s="27"/>
      <c r="F112" s="33"/>
      <c r="G112" s="16"/>
      <c r="H112" s="33"/>
      <c r="I112" s="30"/>
      <c r="J112" s="27"/>
      <c r="K112" s="29"/>
      <c r="L112" s="30"/>
      <c r="M112" s="31"/>
      <c r="N112" s="29"/>
      <c r="O112" s="8"/>
    </row>
    <row r="113" spans="1:15">
      <c r="A113" s="85"/>
      <c r="B113" s="25" t="s">
        <v>34</v>
      </c>
      <c r="C113" s="33" t="s">
        <v>51</v>
      </c>
      <c r="D113" s="45" t="s">
        <v>51</v>
      </c>
      <c r="E113" s="17"/>
      <c r="F113" s="16"/>
      <c r="G113" s="16"/>
      <c r="H113" s="16"/>
      <c r="I113" s="18"/>
      <c r="J113" s="17"/>
      <c r="K113" s="19"/>
      <c r="L113" s="18"/>
      <c r="M113" s="20"/>
      <c r="N113" s="19"/>
      <c r="O113" s="8"/>
    </row>
    <row r="114" spans="1:15" ht="17.399999999999999">
      <c r="A114" s="85"/>
      <c r="B114" s="96" t="s">
        <v>158</v>
      </c>
      <c r="C114" s="97"/>
      <c r="D114" s="98"/>
      <c r="E114" s="10" t="str">
        <f t="shared" ref="E114:N114" si="11">DEC2HEX(E113*128+E112*64+E111*32+E110*16+E109*8+E108*4+E107*2+E106*1)</f>
        <v>0</v>
      </c>
      <c r="F114" s="11" t="str">
        <f t="shared" si="11"/>
        <v>0</v>
      </c>
      <c r="G114" s="11" t="str">
        <f t="shared" si="11"/>
        <v>1</v>
      </c>
      <c r="H114" s="11" t="str">
        <f t="shared" si="11"/>
        <v>13</v>
      </c>
      <c r="I114" s="12" t="str">
        <f t="shared" si="11"/>
        <v>1</v>
      </c>
      <c r="J114" s="10" t="str">
        <f t="shared" si="11"/>
        <v>13</v>
      </c>
      <c r="K114" s="13" t="str">
        <f t="shared" si="11"/>
        <v>1</v>
      </c>
      <c r="L114" s="12" t="str">
        <f t="shared" si="11"/>
        <v>13</v>
      </c>
      <c r="M114" s="12" t="str">
        <f t="shared" si="11"/>
        <v>13</v>
      </c>
      <c r="N114" s="12" t="str">
        <f t="shared" si="11"/>
        <v>13</v>
      </c>
      <c r="O114" s="8"/>
    </row>
    <row r="115" spans="1:15" ht="45">
      <c r="A115" s="85"/>
      <c r="B115" s="53" t="s">
        <v>22</v>
      </c>
      <c r="C115" s="15" t="s">
        <v>159</v>
      </c>
      <c r="D115" s="45" t="s">
        <v>54</v>
      </c>
      <c r="E115" s="17" t="s">
        <v>25</v>
      </c>
      <c r="F115" s="16" t="s">
        <v>25</v>
      </c>
      <c r="G115" s="16" t="s">
        <v>48</v>
      </c>
      <c r="H115" s="16" t="s">
        <v>48</v>
      </c>
      <c r="I115" s="18" t="s">
        <v>48</v>
      </c>
      <c r="J115" s="17" t="s">
        <v>48</v>
      </c>
      <c r="K115" s="19" t="s">
        <v>48</v>
      </c>
      <c r="L115" s="18" t="s">
        <v>48</v>
      </c>
      <c r="M115" s="20" t="s">
        <v>48</v>
      </c>
      <c r="N115" s="19" t="s">
        <v>48</v>
      </c>
      <c r="O115" s="14" t="s">
        <v>160</v>
      </c>
    </row>
    <row r="116" spans="1:15" ht="30">
      <c r="A116" s="85"/>
      <c r="B116" s="25" t="s">
        <v>26</v>
      </c>
      <c r="C116" s="50" t="s">
        <v>161</v>
      </c>
      <c r="D116" s="45" t="s">
        <v>162</v>
      </c>
      <c r="E116" s="17" t="s">
        <v>25</v>
      </c>
      <c r="F116" s="17" t="s">
        <v>25</v>
      </c>
      <c r="G116" s="17" t="s">
        <v>25</v>
      </c>
      <c r="H116" s="17" t="s">
        <v>25</v>
      </c>
      <c r="I116" s="17" t="s">
        <v>48</v>
      </c>
      <c r="J116" s="17" t="s">
        <v>48</v>
      </c>
      <c r="K116" s="17" t="s">
        <v>48</v>
      </c>
      <c r="L116" s="17" t="s">
        <v>48</v>
      </c>
      <c r="M116" s="17" t="s">
        <v>48</v>
      </c>
      <c r="N116" s="17" t="s">
        <v>48</v>
      </c>
      <c r="O116" s="8" t="s">
        <v>140</v>
      </c>
    </row>
    <row r="117" spans="1:15" ht="30">
      <c r="A117" s="85"/>
      <c r="B117" s="53" t="s">
        <v>27</v>
      </c>
      <c r="C117" s="15" t="s">
        <v>163</v>
      </c>
      <c r="D117" s="45" t="s">
        <v>162</v>
      </c>
      <c r="E117" s="17" t="s">
        <v>156</v>
      </c>
      <c r="F117" s="17" t="s">
        <v>156</v>
      </c>
      <c r="G117" s="16" t="s">
        <v>155</v>
      </c>
      <c r="H117" s="16" t="s">
        <v>155</v>
      </c>
      <c r="I117" s="16" t="s">
        <v>155</v>
      </c>
      <c r="J117" s="16" t="s">
        <v>155</v>
      </c>
      <c r="K117" s="16" t="s">
        <v>155</v>
      </c>
      <c r="L117" s="16" t="s">
        <v>155</v>
      </c>
      <c r="M117" s="16" t="s">
        <v>155</v>
      </c>
      <c r="N117" s="16" t="s">
        <v>155</v>
      </c>
      <c r="O117" s="32" t="s">
        <v>164</v>
      </c>
    </row>
    <row r="118" spans="1:15" ht="30">
      <c r="A118" s="85"/>
      <c r="B118" s="53" t="s">
        <v>28</v>
      </c>
      <c r="C118" s="15" t="s">
        <v>165</v>
      </c>
      <c r="D118" s="45" t="s">
        <v>162</v>
      </c>
      <c r="E118" s="17" t="s">
        <v>156</v>
      </c>
      <c r="F118" s="17" t="s">
        <v>156</v>
      </c>
      <c r="G118" s="33" t="s">
        <v>155</v>
      </c>
      <c r="H118" s="16" t="s">
        <v>155</v>
      </c>
      <c r="I118" s="16" t="s">
        <v>155</v>
      </c>
      <c r="J118" s="16" t="s">
        <v>155</v>
      </c>
      <c r="K118" s="16" t="s">
        <v>155</v>
      </c>
      <c r="L118" s="16" t="s">
        <v>155</v>
      </c>
      <c r="M118" s="16" t="s">
        <v>155</v>
      </c>
      <c r="N118" s="16" t="s">
        <v>155</v>
      </c>
      <c r="O118" s="32" t="s">
        <v>164</v>
      </c>
    </row>
    <row r="119" spans="1:15" ht="75">
      <c r="A119" s="85"/>
      <c r="B119" s="53" t="s">
        <v>29</v>
      </c>
      <c r="C119" s="15" t="s">
        <v>166</v>
      </c>
      <c r="D119" s="45" t="s">
        <v>54</v>
      </c>
      <c r="E119" s="27" t="s">
        <v>25</v>
      </c>
      <c r="F119" s="33" t="s">
        <v>25</v>
      </c>
      <c r="G119" s="33" t="s">
        <v>48</v>
      </c>
      <c r="H119" s="33" t="s">
        <v>48</v>
      </c>
      <c r="I119" s="30" t="s">
        <v>48</v>
      </c>
      <c r="J119" s="27" t="s">
        <v>48</v>
      </c>
      <c r="K119" s="29" t="s">
        <v>48</v>
      </c>
      <c r="L119" s="30" t="s">
        <v>48</v>
      </c>
      <c r="M119" s="31" t="s">
        <v>48</v>
      </c>
      <c r="N119" s="29" t="s">
        <v>48</v>
      </c>
      <c r="O119" s="14" t="s">
        <v>167</v>
      </c>
    </row>
    <row r="120" spans="1:15" ht="45">
      <c r="A120" s="85"/>
      <c r="B120" s="53" t="s">
        <v>32</v>
      </c>
      <c r="C120" s="15" t="s">
        <v>168</v>
      </c>
      <c r="D120" s="45" t="s">
        <v>54</v>
      </c>
      <c r="E120" s="17" t="s">
        <v>25</v>
      </c>
      <c r="F120" s="16" t="s">
        <v>25</v>
      </c>
      <c r="G120" s="16" t="s">
        <v>48</v>
      </c>
      <c r="H120" s="16" t="s">
        <v>48</v>
      </c>
      <c r="I120" s="18" t="s">
        <v>48</v>
      </c>
      <c r="J120" s="17" t="s">
        <v>48</v>
      </c>
      <c r="K120" s="19" t="s">
        <v>48</v>
      </c>
      <c r="L120" s="18" t="s">
        <v>48</v>
      </c>
      <c r="M120" s="31" t="s">
        <v>48</v>
      </c>
      <c r="N120" s="33" t="s">
        <v>48</v>
      </c>
      <c r="O120" s="14" t="s">
        <v>169</v>
      </c>
    </row>
    <row r="121" spans="1:15" ht="45">
      <c r="A121" s="85"/>
      <c r="B121" s="53" t="s">
        <v>33</v>
      </c>
      <c r="C121" s="15" t="s">
        <v>170</v>
      </c>
      <c r="D121" s="45" t="s">
        <v>54</v>
      </c>
      <c r="E121" s="17" t="s">
        <v>25</v>
      </c>
      <c r="F121" s="16" t="s">
        <v>25</v>
      </c>
      <c r="G121" s="16" t="s">
        <v>25</v>
      </c>
      <c r="H121" s="16" t="s">
        <v>48</v>
      </c>
      <c r="I121" s="18" t="s">
        <v>25</v>
      </c>
      <c r="J121" s="17" t="s">
        <v>25</v>
      </c>
      <c r="K121" s="19" t="s">
        <v>48</v>
      </c>
      <c r="L121" s="18" t="s">
        <v>48</v>
      </c>
      <c r="M121" s="20" t="s">
        <v>48</v>
      </c>
      <c r="N121" s="19" t="s">
        <v>48</v>
      </c>
      <c r="O121" s="14" t="s">
        <v>171</v>
      </c>
    </row>
    <row r="122" spans="1:15" ht="30">
      <c r="A122" s="85"/>
      <c r="B122" s="53" t="s">
        <v>34</v>
      </c>
      <c r="C122" s="15" t="s">
        <v>172</v>
      </c>
      <c r="D122" s="45" t="s">
        <v>173</v>
      </c>
      <c r="E122" s="17" t="s">
        <v>25</v>
      </c>
      <c r="F122" s="16" t="s">
        <v>25</v>
      </c>
      <c r="G122" s="16" t="s">
        <v>25</v>
      </c>
      <c r="H122" s="16" t="s">
        <v>25</v>
      </c>
      <c r="I122" s="18" t="s">
        <v>25</v>
      </c>
      <c r="J122" s="18" t="s">
        <v>25</v>
      </c>
      <c r="K122" s="18" t="s">
        <v>25</v>
      </c>
      <c r="L122" s="18" t="s">
        <v>25</v>
      </c>
      <c r="M122" s="18" t="s">
        <v>25</v>
      </c>
      <c r="N122" s="18" t="s">
        <v>25</v>
      </c>
      <c r="O122" s="14" t="s">
        <v>174</v>
      </c>
    </row>
    <row r="123" spans="1:15" ht="17.399999999999999">
      <c r="A123" s="85"/>
      <c r="B123" s="96" t="s">
        <v>175</v>
      </c>
      <c r="C123" s="97"/>
      <c r="D123" s="98"/>
      <c r="E123" s="10" t="str">
        <f t="shared" ref="E123:N123" si="12">DEC2HEX(E122*128+E121*64+E120*32+E119*16+E118*8+E117*4+E116*2+E115*1)</f>
        <v>0</v>
      </c>
      <c r="F123" s="11" t="str">
        <f t="shared" si="12"/>
        <v>0</v>
      </c>
      <c r="G123" s="11" t="str">
        <f t="shared" si="12"/>
        <v>3D</v>
      </c>
      <c r="H123" s="11" t="str">
        <f t="shared" si="12"/>
        <v>7D</v>
      </c>
      <c r="I123" s="12" t="str">
        <f t="shared" si="12"/>
        <v>3F</v>
      </c>
      <c r="J123" s="10" t="str">
        <f t="shared" si="12"/>
        <v>3F</v>
      </c>
      <c r="K123" s="13" t="str">
        <f t="shared" si="12"/>
        <v>7F</v>
      </c>
      <c r="L123" s="12" t="str">
        <f t="shared" si="12"/>
        <v>7F</v>
      </c>
      <c r="M123" s="12" t="str">
        <f t="shared" si="12"/>
        <v>7F</v>
      </c>
      <c r="N123" s="12" t="str">
        <f t="shared" si="12"/>
        <v>7F</v>
      </c>
      <c r="O123" s="8"/>
    </row>
    <row r="124" spans="1:15" ht="30">
      <c r="A124" s="85"/>
      <c r="B124" s="53" t="s">
        <v>22</v>
      </c>
      <c r="C124" s="15" t="s">
        <v>176</v>
      </c>
      <c r="D124" s="45" t="s">
        <v>177</v>
      </c>
      <c r="E124" s="17" t="s">
        <v>48</v>
      </c>
      <c r="F124" s="17" t="s">
        <v>48</v>
      </c>
      <c r="G124" s="17" t="s">
        <v>48</v>
      </c>
      <c r="H124" s="17" t="s">
        <v>48</v>
      </c>
      <c r="I124" s="17" t="s">
        <v>48</v>
      </c>
      <c r="J124" s="17" t="s">
        <v>48</v>
      </c>
      <c r="K124" s="19" t="s">
        <v>48</v>
      </c>
      <c r="L124" s="18" t="s">
        <v>48</v>
      </c>
      <c r="M124" s="18" t="s">
        <v>48</v>
      </c>
      <c r="N124" s="18" t="s">
        <v>48</v>
      </c>
      <c r="O124" s="8" t="s">
        <v>140</v>
      </c>
    </row>
    <row r="125" spans="1:15" ht="60">
      <c r="A125" s="85"/>
      <c r="B125" s="53" t="s">
        <v>26</v>
      </c>
      <c r="C125" s="15" t="s">
        <v>178</v>
      </c>
      <c r="D125" s="45" t="s">
        <v>54</v>
      </c>
      <c r="E125" s="17" t="s">
        <v>48</v>
      </c>
      <c r="F125" s="16" t="s">
        <v>25</v>
      </c>
      <c r="G125" s="16" t="s">
        <v>25</v>
      </c>
      <c r="H125" s="16" t="s">
        <v>25</v>
      </c>
      <c r="I125" s="18" t="s">
        <v>25</v>
      </c>
      <c r="J125" s="17" t="s">
        <v>25</v>
      </c>
      <c r="K125" s="19" t="s">
        <v>25</v>
      </c>
      <c r="L125" s="18" t="s">
        <v>25</v>
      </c>
      <c r="M125" s="18" t="s">
        <v>25</v>
      </c>
      <c r="N125" s="18" t="s">
        <v>25</v>
      </c>
      <c r="O125" s="14" t="s">
        <v>179</v>
      </c>
    </row>
    <row r="126" spans="1:15" ht="30">
      <c r="A126" s="85"/>
      <c r="B126" s="53" t="s">
        <v>27</v>
      </c>
      <c r="C126" s="7" t="s">
        <v>180</v>
      </c>
      <c r="D126" s="51" t="s">
        <v>181</v>
      </c>
      <c r="E126" s="17" t="s">
        <v>48</v>
      </c>
      <c r="F126" s="16" t="s">
        <v>48</v>
      </c>
      <c r="G126" s="16" t="s">
        <v>48</v>
      </c>
      <c r="H126" s="16" t="s">
        <v>48</v>
      </c>
      <c r="I126" s="18" t="s">
        <v>48</v>
      </c>
      <c r="J126" s="17" t="s">
        <v>48</v>
      </c>
      <c r="K126" s="19" t="s">
        <v>48</v>
      </c>
      <c r="L126" s="18" t="s">
        <v>48</v>
      </c>
      <c r="M126" s="18" t="s">
        <v>48</v>
      </c>
      <c r="N126" s="18" t="s">
        <v>48</v>
      </c>
      <c r="O126" s="8" t="s">
        <v>140</v>
      </c>
    </row>
    <row r="127" spans="1:15">
      <c r="A127" s="85"/>
      <c r="B127" s="53" t="s">
        <v>28</v>
      </c>
      <c r="C127" s="87" t="s">
        <v>182</v>
      </c>
      <c r="D127" s="90" t="s">
        <v>183</v>
      </c>
      <c r="E127" s="93" t="s">
        <v>48</v>
      </c>
      <c r="F127" s="99" t="s">
        <v>48</v>
      </c>
      <c r="G127" s="99" t="s">
        <v>48</v>
      </c>
      <c r="H127" s="99" t="s">
        <v>48</v>
      </c>
      <c r="I127" s="101" t="s">
        <v>48</v>
      </c>
      <c r="J127" s="93" t="s">
        <v>48</v>
      </c>
      <c r="K127" s="114" t="s">
        <v>48</v>
      </c>
      <c r="L127" s="101" t="s">
        <v>48</v>
      </c>
      <c r="M127" s="118" t="s">
        <v>48</v>
      </c>
      <c r="N127" s="114" t="s">
        <v>39</v>
      </c>
      <c r="O127" s="8" t="s">
        <v>174</v>
      </c>
    </row>
    <row r="128" spans="1:15">
      <c r="A128" s="85"/>
      <c r="B128" s="53" t="s">
        <v>29</v>
      </c>
      <c r="C128" s="89"/>
      <c r="D128" s="92"/>
      <c r="E128" s="95"/>
      <c r="F128" s="100"/>
      <c r="G128" s="100"/>
      <c r="H128" s="100"/>
      <c r="I128" s="103"/>
      <c r="J128" s="95"/>
      <c r="K128" s="115"/>
      <c r="L128" s="103"/>
      <c r="M128" s="119"/>
      <c r="N128" s="115"/>
      <c r="O128" s="8"/>
    </row>
    <row r="129" spans="1:15" ht="30">
      <c r="A129" s="85"/>
      <c r="B129" s="53" t="s">
        <v>32</v>
      </c>
      <c r="C129" s="15" t="s">
        <v>184</v>
      </c>
      <c r="D129" s="45" t="s">
        <v>54</v>
      </c>
      <c r="E129" s="17" t="s">
        <v>48</v>
      </c>
      <c r="F129" s="16" t="s">
        <v>25</v>
      </c>
      <c r="G129" s="16" t="s">
        <v>25</v>
      </c>
      <c r="H129" s="16" t="s">
        <v>25</v>
      </c>
      <c r="I129" s="18" t="s">
        <v>25</v>
      </c>
      <c r="J129" s="17" t="s">
        <v>25</v>
      </c>
      <c r="K129" s="16" t="s">
        <v>25</v>
      </c>
      <c r="L129" s="18" t="s">
        <v>25</v>
      </c>
      <c r="M129" s="18" t="s">
        <v>25</v>
      </c>
      <c r="N129" s="18" t="s">
        <v>25</v>
      </c>
      <c r="O129" s="8" t="s">
        <v>174</v>
      </c>
    </row>
    <row r="130" spans="1:15" ht="30">
      <c r="A130" s="85"/>
      <c r="B130" s="53" t="s">
        <v>33</v>
      </c>
      <c r="C130" s="15" t="s">
        <v>185</v>
      </c>
      <c r="D130" s="45" t="s">
        <v>54</v>
      </c>
      <c r="E130" s="17" t="s">
        <v>156</v>
      </c>
      <c r="F130" s="17" t="s">
        <v>156</v>
      </c>
      <c r="G130" s="16" t="s">
        <v>155</v>
      </c>
      <c r="H130" s="16" t="s">
        <v>155</v>
      </c>
      <c r="I130" s="34" t="s">
        <v>155</v>
      </c>
      <c r="J130" s="35" t="s">
        <v>155</v>
      </c>
      <c r="K130" s="36" t="s">
        <v>155</v>
      </c>
      <c r="L130" s="34" t="s">
        <v>155</v>
      </c>
      <c r="M130" s="37" t="s">
        <v>155</v>
      </c>
      <c r="N130" s="36" t="s">
        <v>155</v>
      </c>
      <c r="O130" s="32" t="s">
        <v>186</v>
      </c>
    </row>
    <row r="131" spans="1:15">
      <c r="A131" s="85"/>
      <c r="B131" s="25" t="s">
        <v>34</v>
      </c>
      <c r="C131" s="33" t="s">
        <v>51</v>
      </c>
      <c r="D131" s="45"/>
      <c r="E131" s="35"/>
      <c r="F131" s="38"/>
      <c r="G131" s="38"/>
      <c r="H131" s="38"/>
      <c r="I131" s="34"/>
      <c r="J131" s="35"/>
      <c r="K131" s="36"/>
      <c r="L131" s="34"/>
      <c r="M131" s="37"/>
      <c r="N131" s="36"/>
      <c r="O131" s="8"/>
    </row>
    <row r="132" spans="1:15" ht="17.399999999999999">
      <c r="A132" s="85"/>
      <c r="B132" s="96" t="s">
        <v>187</v>
      </c>
      <c r="C132" s="97"/>
      <c r="D132" s="98"/>
      <c r="E132" s="10" t="str">
        <f t="shared" ref="E132:N132" si="13">DEC2HEX(E131*128+E130*64+E129*32+E127*8+E126*4+E125*2+E124*1)</f>
        <v>2F</v>
      </c>
      <c r="F132" s="11" t="str">
        <f t="shared" si="13"/>
        <v>D</v>
      </c>
      <c r="G132" s="11" t="str">
        <f t="shared" si="13"/>
        <v>4D</v>
      </c>
      <c r="H132" s="11" t="str">
        <f t="shared" si="13"/>
        <v>4D</v>
      </c>
      <c r="I132" s="12" t="str">
        <f t="shared" si="13"/>
        <v>4D</v>
      </c>
      <c r="J132" s="10" t="str">
        <f t="shared" si="13"/>
        <v>4D</v>
      </c>
      <c r="K132" s="13" t="str">
        <f t="shared" si="13"/>
        <v>4D</v>
      </c>
      <c r="L132" s="12" t="str">
        <f t="shared" si="13"/>
        <v>4D</v>
      </c>
      <c r="M132" s="12" t="str">
        <f t="shared" si="13"/>
        <v>4D</v>
      </c>
      <c r="N132" s="12" t="str">
        <f t="shared" si="13"/>
        <v>55</v>
      </c>
      <c r="O132" s="8"/>
    </row>
    <row r="133" spans="1:15" ht="30">
      <c r="A133" s="85"/>
      <c r="B133" s="53" t="s">
        <v>22</v>
      </c>
      <c r="C133" s="15" t="s">
        <v>188</v>
      </c>
      <c r="D133" s="55" t="s">
        <v>54</v>
      </c>
      <c r="E133" s="17" t="s">
        <v>48</v>
      </c>
      <c r="F133" s="17" t="s">
        <v>48</v>
      </c>
      <c r="G133" s="17" t="s">
        <v>48</v>
      </c>
      <c r="H133" s="17" t="s">
        <v>48</v>
      </c>
      <c r="I133" s="17" t="s">
        <v>48</v>
      </c>
      <c r="J133" s="17" t="s">
        <v>48</v>
      </c>
      <c r="K133" s="17" t="s">
        <v>48</v>
      </c>
      <c r="L133" s="17" t="s">
        <v>48</v>
      </c>
      <c r="M133" s="17" t="s">
        <v>48</v>
      </c>
      <c r="N133" s="17" t="s">
        <v>48</v>
      </c>
      <c r="O133" s="8" t="s">
        <v>140</v>
      </c>
    </row>
    <row r="134" spans="1:15" ht="30">
      <c r="A134" s="85"/>
      <c r="B134" s="53" t="s">
        <v>26</v>
      </c>
      <c r="C134" s="15" t="s">
        <v>189</v>
      </c>
      <c r="D134" s="55" t="s">
        <v>54</v>
      </c>
      <c r="E134" s="17" t="s">
        <v>48</v>
      </c>
      <c r="F134" s="17" t="s">
        <v>48</v>
      </c>
      <c r="G134" s="17" t="s">
        <v>48</v>
      </c>
      <c r="H134" s="17" t="s">
        <v>48</v>
      </c>
      <c r="I134" s="17" t="s">
        <v>48</v>
      </c>
      <c r="J134" s="17" t="s">
        <v>48</v>
      </c>
      <c r="K134" s="17" t="s">
        <v>48</v>
      </c>
      <c r="L134" s="17" t="s">
        <v>48</v>
      </c>
      <c r="M134" s="17" t="s">
        <v>48</v>
      </c>
      <c r="N134" s="17" t="s">
        <v>48</v>
      </c>
      <c r="O134" s="8" t="s">
        <v>140</v>
      </c>
    </row>
    <row r="135" spans="1:15" ht="30">
      <c r="A135" s="85"/>
      <c r="B135" s="53" t="s">
        <v>27</v>
      </c>
      <c r="C135" s="15" t="s">
        <v>190</v>
      </c>
      <c r="D135" s="55" t="s">
        <v>54</v>
      </c>
      <c r="E135" s="17" t="s">
        <v>48</v>
      </c>
      <c r="F135" s="17" t="s">
        <v>48</v>
      </c>
      <c r="G135" s="17" t="s">
        <v>48</v>
      </c>
      <c r="H135" s="17" t="s">
        <v>48</v>
      </c>
      <c r="I135" s="17" t="s">
        <v>48</v>
      </c>
      <c r="J135" s="17" t="s">
        <v>48</v>
      </c>
      <c r="K135" s="17" t="s">
        <v>48</v>
      </c>
      <c r="L135" s="17" t="s">
        <v>48</v>
      </c>
      <c r="M135" s="17" t="s">
        <v>48</v>
      </c>
      <c r="N135" s="17" t="s">
        <v>48</v>
      </c>
      <c r="O135" s="8" t="s">
        <v>140</v>
      </c>
    </row>
    <row r="136" spans="1:15" ht="30">
      <c r="A136" s="85"/>
      <c r="B136" s="53" t="s">
        <v>28</v>
      </c>
      <c r="C136" s="15" t="s">
        <v>191</v>
      </c>
      <c r="D136" s="55" t="s">
        <v>54</v>
      </c>
      <c r="E136" s="17" t="s">
        <v>48</v>
      </c>
      <c r="F136" s="17" t="s">
        <v>48</v>
      </c>
      <c r="G136" s="17" t="s">
        <v>48</v>
      </c>
      <c r="H136" s="17" t="s">
        <v>48</v>
      </c>
      <c r="I136" s="17" t="s">
        <v>48</v>
      </c>
      <c r="J136" s="17" t="s">
        <v>48</v>
      </c>
      <c r="K136" s="17" t="s">
        <v>48</v>
      </c>
      <c r="L136" s="17" t="s">
        <v>48</v>
      </c>
      <c r="M136" s="17" t="s">
        <v>48</v>
      </c>
      <c r="N136" s="17" t="s">
        <v>48</v>
      </c>
      <c r="O136" s="8" t="s">
        <v>140</v>
      </c>
    </row>
    <row r="137" spans="1:15" ht="30">
      <c r="A137" s="85"/>
      <c r="B137" s="53" t="s">
        <v>29</v>
      </c>
      <c r="C137" s="15" t="s">
        <v>192</v>
      </c>
      <c r="D137" s="55" t="s">
        <v>54</v>
      </c>
      <c r="E137" s="17" t="s">
        <v>48</v>
      </c>
      <c r="F137" s="17" t="s">
        <v>48</v>
      </c>
      <c r="G137" s="17" t="s">
        <v>48</v>
      </c>
      <c r="H137" s="17" t="s">
        <v>48</v>
      </c>
      <c r="I137" s="17" t="s">
        <v>48</v>
      </c>
      <c r="J137" s="17" t="s">
        <v>48</v>
      </c>
      <c r="K137" s="17" t="s">
        <v>48</v>
      </c>
      <c r="L137" s="17" t="s">
        <v>48</v>
      </c>
      <c r="M137" s="17" t="s">
        <v>48</v>
      </c>
      <c r="N137" s="17" t="s">
        <v>48</v>
      </c>
      <c r="O137" s="8" t="s">
        <v>140</v>
      </c>
    </row>
    <row r="138" spans="1:15" ht="30">
      <c r="A138" s="85"/>
      <c r="B138" s="53" t="s">
        <v>32</v>
      </c>
      <c r="C138" s="15" t="s">
        <v>193</v>
      </c>
      <c r="D138" s="55" t="s">
        <v>54</v>
      </c>
      <c r="E138" s="17" t="s">
        <v>48</v>
      </c>
      <c r="F138" s="17" t="s">
        <v>48</v>
      </c>
      <c r="G138" s="17" t="s">
        <v>48</v>
      </c>
      <c r="H138" s="17" t="s">
        <v>48</v>
      </c>
      <c r="I138" s="17" t="s">
        <v>48</v>
      </c>
      <c r="J138" s="17" t="s">
        <v>48</v>
      </c>
      <c r="K138" s="17" t="s">
        <v>48</v>
      </c>
      <c r="L138" s="17" t="s">
        <v>48</v>
      </c>
      <c r="M138" s="17" t="s">
        <v>48</v>
      </c>
      <c r="N138" s="17" t="s">
        <v>48</v>
      </c>
      <c r="O138" s="8" t="s">
        <v>140</v>
      </c>
    </row>
    <row r="139" spans="1:15" ht="30">
      <c r="A139" s="85"/>
      <c r="B139" s="53" t="s">
        <v>33</v>
      </c>
      <c r="C139" s="15" t="s">
        <v>194</v>
      </c>
      <c r="D139" s="55" t="s">
        <v>54</v>
      </c>
      <c r="E139" s="17" t="s">
        <v>48</v>
      </c>
      <c r="F139" s="17" t="s">
        <v>48</v>
      </c>
      <c r="G139" s="17" t="s">
        <v>48</v>
      </c>
      <c r="H139" s="17" t="s">
        <v>48</v>
      </c>
      <c r="I139" s="17" t="s">
        <v>48</v>
      </c>
      <c r="J139" s="17" t="s">
        <v>48</v>
      </c>
      <c r="K139" s="17" t="s">
        <v>48</v>
      </c>
      <c r="L139" s="17" t="s">
        <v>48</v>
      </c>
      <c r="M139" s="17" t="s">
        <v>48</v>
      </c>
      <c r="N139" s="17" t="s">
        <v>48</v>
      </c>
      <c r="O139" s="8" t="s">
        <v>140</v>
      </c>
    </row>
    <row r="140" spans="1:15" ht="30">
      <c r="A140" s="85"/>
      <c r="B140" s="53" t="s">
        <v>34</v>
      </c>
      <c r="C140" s="15" t="s">
        <v>195</v>
      </c>
      <c r="D140" s="55" t="s">
        <v>54</v>
      </c>
      <c r="E140" s="17" t="s">
        <v>48</v>
      </c>
      <c r="F140" s="17" t="s">
        <v>48</v>
      </c>
      <c r="G140" s="17" t="s">
        <v>48</v>
      </c>
      <c r="H140" s="17" t="s">
        <v>48</v>
      </c>
      <c r="I140" s="17" t="s">
        <v>48</v>
      </c>
      <c r="J140" s="17" t="s">
        <v>48</v>
      </c>
      <c r="K140" s="17" t="s">
        <v>48</v>
      </c>
      <c r="L140" s="17" t="s">
        <v>48</v>
      </c>
      <c r="M140" s="17" t="s">
        <v>48</v>
      </c>
      <c r="N140" s="17" t="s">
        <v>48</v>
      </c>
      <c r="O140" s="8" t="s">
        <v>140</v>
      </c>
    </row>
    <row r="141" spans="1:15" ht="17.399999999999999">
      <c r="A141" s="85"/>
      <c r="B141" s="96" t="s">
        <v>196</v>
      </c>
      <c r="C141" s="97"/>
      <c r="D141" s="98"/>
      <c r="E141" s="10" t="str">
        <f t="shared" ref="E141:N141" si="14">DEC2HEX(E140*128+E139*64+E138*32+E137*16+E136*8+E135*4+E134*2+E133*1)</f>
        <v>FF</v>
      </c>
      <c r="F141" s="11" t="str">
        <f t="shared" si="14"/>
        <v>FF</v>
      </c>
      <c r="G141" s="11" t="str">
        <f t="shared" si="14"/>
        <v>FF</v>
      </c>
      <c r="H141" s="11" t="str">
        <f t="shared" si="14"/>
        <v>FF</v>
      </c>
      <c r="I141" s="12" t="str">
        <f t="shared" si="14"/>
        <v>FF</v>
      </c>
      <c r="J141" s="10" t="str">
        <f t="shared" si="14"/>
        <v>FF</v>
      </c>
      <c r="K141" s="13" t="str">
        <f t="shared" si="14"/>
        <v>FF</v>
      </c>
      <c r="L141" s="12" t="str">
        <f t="shared" si="14"/>
        <v>FF</v>
      </c>
      <c r="M141" s="12" t="str">
        <f t="shared" si="14"/>
        <v>FF</v>
      </c>
      <c r="N141" s="12" t="str">
        <f t="shared" si="14"/>
        <v>FF</v>
      </c>
      <c r="O141" s="8"/>
    </row>
    <row r="142" spans="1:15" ht="30">
      <c r="A142" s="85"/>
      <c r="B142" s="25" t="s">
        <v>22</v>
      </c>
      <c r="C142" s="33" t="s">
        <v>197</v>
      </c>
      <c r="D142" s="45" t="s">
        <v>54</v>
      </c>
      <c r="E142" s="17" t="s">
        <v>25</v>
      </c>
      <c r="F142" s="17" t="s">
        <v>25</v>
      </c>
      <c r="G142" s="17" t="s">
        <v>25</v>
      </c>
      <c r="H142" s="17" t="s">
        <v>25</v>
      </c>
      <c r="I142" s="17" t="s">
        <v>25</v>
      </c>
      <c r="J142" s="17" t="s">
        <v>25</v>
      </c>
      <c r="K142" s="17" t="s">
        <v>25</v>
      </c>
      <c r="L142" s="17" t="s">
        <v>25</v>
      </c>
      <c r="M142" s="17" t="s">
        <v>25</v>
      </c>
      <c r="N142" s="17" t="s">
        <v>25</v>
      </c>
      <c r="O142" s="8" t="s">
        <v>140</v>
      </c>
    </row>
    <row r="143" spans="1:15" ht="30">
      <c r="A143" s="85"/>
      <c r="B143" s="25" t="s">
        <v>26</v>
      </c>
      <c r="C143" s="33" t="s">
        <v>198</v>
      </c>
      <c r="D143" s="45" t="s">
        <v>54</v>
      </c>
      <c r="E143" s="17" t="s">
        <v>25</v>
      </c>
      <c r="F143" s="16" t="s">
        <v>25</v>
      </c>
      <c r="G143" s="16" t="s">
        <v>25</v>
      </c>
      <c r="H143" s="16" t="s">
        <v>25</v>
      </c>
      <c r="I143" s="18" t="s">
        <v>25</v>
      </c>
      <c r="J143" s="17" t="s">
        <v>25</v>
      </c>
      <c r="K143" s="16" t="s">
        <v>25</v>
      </c>
      <c r="L143" s="18" t="s">
        <v>25</v>
      </c>
      <c r="M143" s="18" t="s">
        <v>25</v>
      </c>
      <c r="N143" s="18" t="s">
        <v>25</v>
      </c>
      <c r="O143" s="8" t="s">
        <v>140</v>
      </c>
    </row>
    <row r="144" spans="1:15" ht="30">
      <c r="A144" s="85"/>
      <c r="B144" s="25" t="s">
        <v>27</v>
      </c>
      <c r="C144" s="33" t="s">
        <v>199</v>
      </c>
      <c r="D144" s="45" t="s">
        <v>54</v>
      </c>
      <c r="E144" s="17" t="s">
        <v>25</v>
      </c>
      <c r="F144" s="17" t="s">
        <v>25</v>
      </c>
      <c r="G144" s="17" t="s">
        <v>25</v>
      </c>
      <c r="H144" s="17" t="s">
        <v>25</v>
      </c>
      <c r="I144" s="17" t="s">
        <v>25</v>
      </c>
      <c r="J144" s="17" t="s">
        <v>25</v>
      </c>
      <c r="K144" s="17" t="s">
        <v>25</v>
      </c>
      <c r="L144" s="17" t="s">
        <v>25</v>
      </c>
      <c r="M144" s="17" t="s">
        <v>25</v>
      </c>
      <c r="N144" s="17" t="s">
        <v>25</v>
      </c>
      <c r="O144" s="8" t="s">
        <v>140</v>
      </c>
    </row>
    <row r="145" spans="1:15" ht="45">
      <c r="A145" s="85"/>
      <c r="B145" s="53" t="s">
        <v>28</v>
      </c>
      <c r="C145" s="15" t="s">
        <v>200</v>
      </c>
      <c r="D145" s="55" t="s">
        <v>54</v>
      </c>
      <c r="E145" s="17" t="s">
        <v>48</v>
      </c>
      <c r="F145" s="16" t="s">
        <v>48</v>
      </c>
      <c r="G145" s="16" t="s">
        <v>48</v>
      </c>
      <c r="H145" s="16" t="s">
        <v>48</v>
      </c>
      <c r="I145" s="18" t="s">
        <v>48</v>
      </c>
      <c r="J145" s="17" t="s">
        <v>48</v>
      </c>
      <c r="K145" s="16" t="s">
        <v>48</v>
      </c>
      <c r="L145" s="18" t="s">
        <v>48</v>
      </c>
      <c r="M145" s="18" t="s">
        <v>48</v>
      </c>
      <c r="N145" s="18" t="s">
        <v>48</v>
      </c>
      <c r="O145" s="14" t="s">
        <v>201</v>
      </c>
    </row>
    <row r="146" spans="1:15" ht="45">
      <c r="A146" s="85"/>
      <c r="B146" s="53" t="s">
        <v>29</v>
      </c>
      <c r="C146" s="15" t="s">
        <v>202</v>
      </c>
      <c r="D146" s="55" t="s">
        <v>54</v>
      </c>
      <c r="E146" s="17" t="s">
        <v>48</v>
      </c>
      <c r="F146" s="16" t="s">
        <v>48</v>
      </c>
      <c r="G146" s="16" t="s">
        <v>48</v>
      </c>
      <c r="H146" s="16" t="s">
        <v>48</v>
      </c>
      <c r="I146" s="18" t="s">
        <v>48</v>
      </c>
      <c r="J146" s="17" t="s">
        <v>48</v>
      </c>
      <c r="K146" s="16" t="s">
        <v>48</v>
      </c>
      <c r="L146" s="18" t="s">
        <v>48</v>
      </c>
      <c r="M146" s="18" t="s">
        <v>48</v>
      </c>
      <c r="N146" s="18" t="s">
        <v>48</v>
      </c>
      <c r="O146" s="14" t="s">
        <v>201</v>
      </c>
    </row>
    <row r="147" spans="1:15" ht="30">
      <c r="A147" s="85"/>
      <c r="B147" s="53" t="s">
        <v>32</v>
      </c>
      <c r="C147" s="15" t="s">
        <v>203</v>
      </c>
      <c r="D147" s="55" t="s">
        <v>54</v>
      </c>
      <c r="E147" s="17" t="s">
        <v>25</v>
      </c>
      <c r="F147" s="17" t="s">
        <v>25</v>
      </c>
      <c r="G147" s="16" t="s">
        <v>48</v>
      </c>
      <c r="H147" s="16" t="s">
        <v>48</v>
      </c>
      <c r="I147" s="18" t="s">
        <v>48</v>
      </c>
      <c r="J147" s="17" t="s">
        <v>48</v>
      </c>
      <c r="K147" s="16" t="s">
        <v>48</v>
      </c>
      <c r="L147" s="18" t="s">
        <v>48</v>
      </c>
      <c r="M147" s="18" t="s">
        <v>48</v>
      </c>
      <c r="N147" s="18" t="s">
        <v>48</v>
      </c>
      <c r="O147" s="32" t="s">
        <v>157</v>
      </c>
    </row>
    <row r="148" spans="1:15" ht="45">
      <c r="A148" s="85"/>
      <c r="B148" s="53" t="s">
        <v>33</v>
      </c>
      <c r="C148" s="56" t="s">
        <v>204</v>
      </c>
      <c r="D148" s="55" t="s">
        <v>54</v>
      </c>
      <c r="E148" s="17" t="s">
        <v>25</v>
      </c>
      <c r="F148" s="17" t="s">
        <v>25</v>
      </c>
      <c r="G148" s="16" t="s">
        <v>48</v>
      </c>
      <c r="H148" s="16" t="s">
        <v>48</v>
      </c>
      <c r="I148" s="18" t="s">
        <v>48</v>
      </c>
      <c r="J148" s="17" t="s">
        <v>48</v>
      </c>
      <c r="K148" s="16" t="s">
        <v>48</v>
      </c>
      <c r="L148" s="18" t="s">
        <v>48</v>
      </c>
      <c r="M148" s="18" t="s">
        <v>48</v>
      </c>
      <c r="N148" s="18" t="s">
        <v>48</v>
      </c>
      <c r="O148" s="32" t="s">
        <v>205</v>
      </c>
    </row>
    <row r="149" spans="1:15" ht="30">
      <c r="A149" s="85"/>
      <c r="B149" s="53" t="s">
        <v>34</v>
      </c>
      <c r="C149" s="56" t="s">
        <v>206</v>
      </c>
      <c r="D149" s="55" t="s">
        <v>54</v>
      </c>
      <c r="E149" s="17" t="s">
        <v>25</v>
      </c>
      <c r="F149" s="17" t="s">
        <v>25</v>
      </c>
      <c r="G149" s="16" t="s">
        <v>48</v>
      </c>
      <c r="H149" s="16" t="s">
        <v>48</v>
      </c>
      <c r="I149" s="18" t="s">
        <v>48</v>
      </c>
      <c r="J149" s="17" t="s">
        <v>48</v>
      </c>
      <c r="K149" s="16" t="s">
        <v>48</v>
      </c>
      <c r="L149" s="18" t="s">
        <v>48</v>
      </c>
      <c r="M149" s="18" t="s">
        <v>48</v>
      </c>
      <c r="N149" s="18" t="s">
        <v>48</v>
      </c>
      <c r="O149" s="32" t="s">
        <v>207</v>
      </c>
    </row>
    <row r="150" spans="1:15" ht="17.399999999999999">
      <c r="A150" s="85"/>
      <c r="B150" s="96" t="s">
        <v>208</v>
      </c>
      <c r="C150" s="97"/>
      <c r="D150" s="98"/>
      <c r="E150" s="10" t="str">
        <f t="shared" ref="E150:N150" si="15">DEC2HEX(E149*128+E148*64+E147*32+E146*16+E145*8+E144*4+E143*2+E142*1)</f>
        <v>18</v>
      </c>
      <c r="F150" s="11" t="str">
        <f t="shared" si="15"/>
        <v>18</v>
      </c>
      <c r="G150" s="11" t="str">
        <f t="shared" si="15"/>
        <v>F8</v>
      </c>
      <c r="H150" s="11" t="str">
        <f t="shared" si="15"/>
        <v>F8</v>
      </c>
      <c r="I150" s="12" t="str">
        <f t="shared" si="15"/>
        <v>F8</v>
      </c>
      <c r="J150" s="10" t="str">
        <f t="shared" si="15"/>
        <v>F8</v>
      </c>
      <c r="K150" s="13" t="str">
        <f t="shared" si="15"/>
        <v>F8</v>
      </c>
      <c r="L150" s="12" t="str">
        <f t="shared" si="15"/>
        <v>F8</v>
      </c>
      <c r="M150" s="12" t="str">
        <f t="shared" si="15"/>
        <v>F8</v>
      </c>
      <c r="N150" s="12" t="str">
        <f t="shared" si="15"/>
        <v>F8</v>
      </c>
      <c r="O150" s="8"/>
    </row>
    <row r="151" spans="1:15" ht="60">
      <c r="A151" s="85"/>
      <c r="B151" s="53" t="s">
        <v>22</v>
      </c>
      <c r="C151" s="15" t="s">
        <v>209</v>
      </c>
      <c r="D151" s="45" t="s">
        <v>54</v>
      </c>
      <c r="E151" s="27" t="s">
        <v>25</v>
      </c>
      <c r="F151" s="33" t="s">
        <v>25</v>
      </c>
      <c r="G151" s="33" t="s">
        <v>48</v>
      </c>
      <c r="H151" s="33" t="s">
        <v>48</v>
      </c>
      <c r="I151" s="30" t="s">
        <v>48</v>
      </c>
      <c r="J151" s="27" t="s">
        <v>48</v>
      </c>
      <c r="K151" s="29" t="s">
        <v>48</v>
      </c>
      <c r="L151" s="30" t="s">
        <v>48</v>
      </c>
      <c r="M151" s="20" t="s">
        <v>48</v>
      </c>
      <c r="N151" s="19" t="s">
        <v>48</v>
      </c>
      <c r="O151" s="14" t="s">
        <v>210</v>
      </c>
    </row>
    <row r="152" spans="1:15" ht="60">
      <c r="A152" s="85"/>
      <c r="B152" s="53" t="s">
        <v>26</v>
      </c>
      <c r="C152" s="15" t="s">
        <v>211</v>
      </c>
      <c r="D152" s="45" t="s">
        <v>54</v>
      </c>
      <c r="E152" s="27" t="s">
        <v>25</v>
      </c>
      <c r="F152" s="33" t="s">
        <v>25</v>
      </c>
      <c r="G152" s="33" t="s">
        <v>48</v>
      </c>
      <c r="H152" s="33" t="s">
        <v>48</v>
      </c>
      <c r="I152" s="30" t="s">
        <v>48</v>
      </c>
      <c r="J152" s="27" t="s">
        <v>48</v>
      </c>
      <c r="K152" s="29" t="s">
        <v>48</v>
      </c>
      <c r="L152" s="30" t="s">
        <v>48</v>
      </c>
      <c r="M152" s="20" t="s">
        <v>48</v>
      </c>
      <c r="N152" s="19" t="s">
        <v>48</v>
      </c>
      <c r="O152" s="14" t="s">
        <v>212</v>
      </c>
    </row>
    <row r="153" spans="1:15" ht="60">
      <c r="A153" s="85"/>
      <c r="B153" s="53" t="s">
        <v>27</v>
      </c>
      <c r="C153" s="15" t="s">
        <v>213</v>
      </c>
      <c r="D153" s="45" t="s">
        <v>54</v>
      </c>
      <c r="E153" s="17" t="s">
        <v>48</v>
      </c>
      <c r="F153" s="17" t="s">
        <v>48</v>
      </c>
      <c r="G153" s="17" t="s">
        <v>48</v>
      </c>
      <c r="H153" s="17" t="s">
        <v>48</v>
      </c>
      <c r="I153" s="17" t="s">
        <v>48</v>
      </c>
      <c r="J153" s="17" t="s">
        <v>48</v>
      </c>
      <c r="K153" s="17" t="s">
        <v>48</v>
      </c>
      <c r="L153" s="17" t="s">
        <v>48</v>
      </c>
      <c r="M153" s="17" t="s">
        <v>48</v>
      </c>
      <c r="N153" s="17" t="s">
        <v>48</v>
      </c>
      <c r="O153" s="14" t="s">
        <v>212</v>
      </c>
    </row>
    <row r="154" spans="1:15" ht="60">
      <c r="A154" s="85"/>
      <c r="B154" s="53" t="s">
        <v>28</v>
      </c>
      <c r="C154" s="15" t="s">
        <v>214</v>
      </c>
      <c r="D154" s="45" t="s">
        <v>54</v>
      </c>
      <c r="E154" s="17" t="s">
        <v>48</v>
      </c>
      <c r="F154" s="17" t="s">
        <v>48</v>
      </c>
      <c r="G154" s="17" t="s">
        <v>48</v>
      </c>
      <c r="H154" s="17" t="s">
        <v>48</v>
      </c>
      <c r="I154" s="17" t="s">
        <v>48</v>
      </c>
      <c r="J154" s="17" t="s">
        <v>48</v>
      </c>
      <c r="K154" s="17" t="s">
        <v>48</v>
      </c>
      <c r="L154" s="17" t="s">
        <v>48</v>
      </c>
      <c r="M154" s="17" t="s">
        <v>48</v>
      </c>
      <c r="N154" s="17" t="s">
        <v>48</v>
      </c>
      <c r="O154" s="14" t="s">
        <v>212</v>
      </c>
    </row>
    <row r="155" spans="1:15" ht="60">
      <c r="A155" s="85"/>
      <c r="B155" s="53" t="s">
        <v>29</v>
      </c>
      <c r="C155" s="15" t="s">
        <v>215</v>
      </c>
      <c r="D155" s="45" t="s">
        <v>54</v>
      </c>
      <c r="E155" s="27" t="s">
        <v>25</v>
      </c>
      <c r="F155" s="33" t="s">
        <v>25</v>
      </c>
      <c r="G155" s="33" t="s">
        <v>25</v>
      </c>
      <c r="H155" s="33" t="s">
        <v>48</v>
      </c>
      <c r="I155" s="33" t="s">
        <v>25</v>
      </c>
      <c r="J155" s="17" t="s">
        <v>48</v>
      </c>
      <c r="K155" s="17" t="s">
        <v>25</v>
      </c>
      <c r="L155" s="17" t="s">
        <v>48</v>
      </c>
      <c r="M155" s="17" t="s">
        <v>48</v>
      </c>
      <c r="N155" s="17" t="s">
        <v>48</v>
      </c>
      <c r="O155" s="14" t="s">
        <v>212</v>
      </c>
    </row>
    <row r="156" spans="1:15" ht="60">
      <c r="A156" s="85"/>
      <c r="B156" s="53" t="s">
        <v>32</v>
      </c>
      <c r="C156" s="15" t="s">
        <v>216</v>
      </c>
      <c r="D156" s="45" t="s">
        <v>54</v>
      </c>
      <c r="E156" s="27" t="s">
        <v>25</v>
      </c>
      <c r="F156" s="33" t="s">
        <v>25</v>
      </c>
      <c r="G156" s="33" t="s">
        <v>25</v>
      </c>
      <c r="H156" s="33" t="s">
        <v>48</v>
      </c>
      <c r="I156" s="33" t="s">
        <v>25</v>
      </c>
      <c r="J156" s="17" t="s">
        <v>48</v>
      </c>
      <c r="K156" s="17" t="s">
        <v>25</v>
      </c>
      <c r="L156" s="17" t="s">
        <v>48</v>
      </c>
      <c r="M156" s="17" t="s">
        <v>48</v>
      </c>
      <c r="N156" s="17" t="s">
        <v>48</v>
      </c>
      <c r="O156" s="14" t="s">
        <v>212</v>
      </c>
    </row>
    <row r="157" spans="1:15">
      <c r="A157" s="85"/>
      <c r="B157" s="25" t="s">
        <v>33</v>
      </c>
      <c r="C157" s="33" t="s">
        <v>51</v>
      </c>
      <c r="D157" s="45"/>
      <c r="E157" s="35"/>
      <c r="F157" s="38"/>
      <c r="G157" s="38"/>
      <c r="H157" s="38"/>
      <c r="I157" s="34"/>
      <c r="J157" s="35"/>
      <c r="K157" s="36"/>
      <c r="L157" s="34"/>
      <c r="M157" s="37"/>
      <c r="N157" s="36"/>
      <c r="O157" s="8"/>
    </row>
    <row r="158" spans="1:15">
      <c r="A158" s="85"/>
      <c r="B158" s="25" t="s">
        <v>34</v>
      </c>
      <c r="C158" s="33" t="s">
        <v>51</v>
      </c>
      <c r="D158" s="45"/>
      <c r="E158" s="35"/>
      <c r="F158" s="38"/>
      <c r="G158" s="38"/>
      <c r="H158" s="38"/>
      <c r="I158" s="34"/>
      <c r="J158" s="35"/>
      <c r="K158" s="36"/>
      <c r="L158" s="34"/>
      <c r="M158" s="37"/>
      <c r="N158" s="36"/>
      <c r="O158" s="8"/>
    </row>
    <row r="159" spans="1:15" ht="17.399999999999999">
      <c r="A159" s="85"/>
      <c r="B159" s="96" t="s">
        <v>217</v>
      </c>
      <c r="C159" s="97"/>
      <c r="D159" s="98"/>
      <c r="E159" s="10" t="str">
        <f t="shared" ref="E159:N159" si="16">DEC2HEX(E158*128+E157*64+E156*32+E155*16+E154*8+E153*4+E152*2+E151*1)</f>
        <v>C</v>
      </c>
      <c r="F159" s="11" t="str">
        <f t="shared" si="16"/>
        <v>C</v>
      </c>
      <c r="G159" s="11" t="str">
        <f t="shared" si="16"/>
        <v>F</v>
      </c>
      <c r="H159" s="11" t="str">
        <f t="shared" si="16"/>
        <v>3F</v>
      </c>
      <c r="I159" s="12" t="str">
        <f t="shared" si="16"/>
        <v>F</v>
      </c>
      <c r="J159" s="10" t="str">
        <f t="shared" si="16"/>
        <v>3F</v>
      </c>
      <c r="K159" s="13" t="str">
        <f t="shared" si="16"/>
        <v>F</v>
      </c>
      <c r="L159" s="12" t="str">
        <f t="shared" si="16"/>
        <v>3F</v>
      </c>
      <c r="M159" s="12" t="str">
        <f t="shared" si="16"/>
        <v>3F</v>
      </c>
      <c r="N159" s="12" t="str">
        <f t="shared" si="16"/>
        <v>3F</v>
      </c>
      <c r="O159" s="8"/>
    </row>
    <row r="160" spans="1:15" ht="60">
      <c r="A160" s="85"/>
      <c r="B160" s="53" t="s">
        <v>22</v>
      </c>
      <c r="C160" s="15" t="s">
        <v>218</v>
      </c>
      <c r="D160" s="45" t="s">
        <v>54</v>
      </c>
      <c r="E160" s="27" t="s">
        <v>25</v>
      </c>
      <c r="F160" s="33" t="s">
        <v>25</v>
      </c>
      <c r="G160" s="33" t="s">
        <v>48</v>
      </c>
      <c r="H160" s="33" t="s">
        <v>48</v>
      </c>
      <c r="I160" s="30" t="s">
        <v>48</v>
      </c>
      <c r="J160" s="27" t="s">
        <v>48</v>
      </c>
      <c r="K160" s="29" t="s">
        <v>48</v>
      </c>
      <c r="L160" s="30" t="s">
        <v>48</v>
      </c>
      <c r="M160" s="20" t="s">
        <v>48</v>
      </c>
      <c r="N160" s="19" t="s">
        <v>48</v>
      </c>
      <c r="O160" s="14" t="s">
        <v>212</v>
      </c>
    </row>
    <row r="161" spans="1:15" ht="60">
      <c r="A161" s="85"/>
      <c r="B161" s="53" t="s">
        <v>26</v>
      </c>
      <c r="C161" s="15" t="s">
        <v>219</v>
      </c>
      <c r="D161" s="45" t="s">
        <v>54</v>
      </c>
      <c r="E161" s="27" t="s">
        <v>25</v>
      </c>
      <c r="F161" s="33" t="s">
        <v>25</v>
      </c>
      <c r="G161" s="33" t="s">
        <v>48</v>
      </c>
      <c r="H161" s="33" t="s">
        <v>48</v>
      </c>
      <c r="I161" s="30" t="s">
        <v>48</v>
      </c>
      <c r="J161" s="27" t="s">
        <v>48</v>
      </c>
      <c r="K161" s="29" t="s">
        <v>48</v>
      </c>
      <c r="L161" s="30" t="s">
        <v>48</v>
      </c>
      <c r="M161" s="37" t="s">
        <v>48</v>
      </c>
      <c r="N161" s="36" t="s">
        <v>48</v>
      </c>
      <c r="O161" s="14" t="s">
        <v>220</v>
      </c>
    </row>
    <row r="162" spans="1:15" ht="60">
      <c r="A162" s="85"/>
      <c r="B162" s="53" t="s">
        <v>27</v>
      </c>
      <c r="C162" s="15" t="s">
        <v>221</v>
      </c>
      <c r="D162" s="45" t="s">
        <v>54</v>
      </c>
      <c r="E162" s="27" t="s">
        <v>25</v>
      </c>
      <c r="F162" s="33" t="s">
        <v>25</v>
      </c>
      <c r="G162" s="33" t="s">
        <v>48</v>
      </c>
      <c r="H162" s="33" t="s">
        <v>48</v>
      </c>
      <c r="I162" s="17" t="s">
        <v>48</v>
      </c>
      <c r="J162" s="17" t="s">
        <v>48</v>
      </c>
      <c r="K162" s="17" t="s">
        <v>48</v>
      </c>
      <c r="L162" s="17" t="s">
        <v>48</v>
      </c>
      <c r="M162" s="37" t="s">
        <v>48</v>
      </c>
      <c r="N162" s="36" t="s">
        <v>48</v>
      </c>
      <c r="O162" s="14" t="s">
        <v>222</v>
      </c>
    </row>
    <row r="163" spans="1:15" ht="60">
      <c r="A163" s="85"/>
      <c r="B163" s="53" t="s">
        <v>28</v>
      </c>
      <c r="C163" s="15" t="s">
        <v>223</v>
      </c>
      <c r="D163" s="45" t="s">
        <v>54</v>
      </c>
      <c r="E163" s="27" t="s">
        <v>25</v>
      </c>
      <c r="F163" s="33" t="s">
        <v>25</v>
      </c>
      <c r="G163" s="33" t="s">
        <v>48</v>
      </c>
      <c r="H163" s="33" t="s">
        <v>48</v>
      </c>
      <c r="I163" s="17" t="s">
        <v>48</v>
      </c>
      <c r="J163" s="17" t="s">
        <v>48</v>
      </c>
      <c r="K163" s="17" t="s">
        <v>48</v>
      </c>
      <c r="L163" s="17" t="s">
        <v>48</v>
      </c>
      <c r="M163" s="37" t="s">
        <v>48</v>
      </c>
      <c r="N163" s="36" t="s">
        <v>48</v>
      </c>
      <c r="O163" s="14" t="s">
        <v>224</v>
      </c>
    </row>
    <row r="164" spans="1:15" ht="60">
      <c r="A164" s="85"/>
      <c r="B164" s="53" t="s">
        <v>29</v>
      </c>
      <c r="C164" s="15" t="s">
        <v>225</v>
      </c>
      <c r="D164" s="45" t="s">
        <v>54</v>
      </c>
      <c r="E164" s="27" t="s">
        <v>25</v>
      </c>
      <c r="F164" s="33" t="s">
        <v>25</v>
      </c>
      <c r="G164" s="33" t="s">
        <v>25</v>
      </c>
      <c r="H164" s="33" t="s">
        <v>25</v>
      </c>
      <c r="I164" s="33" t="s">
        <v>25</v>
      </c>
      <c r="J164" s="33" t="s">
        <v>25</v>
      </c>
      <c r="K164" s="33" t="s">
        <v>25</v>
      </c>
      <c r="L164" s="33" t="s">
        <v>25</v>
      </c>
      <c r="M164" s="33" t="s">
        <v>25</v>
      </c>
      <c r="N164" s="33" t="s">
        <v>25</v>
      </c>
      <c r="O164" s="14" t="s">
        <v>226</v>
      </c>
    </row>
    <row r="165" spans="1:15" ht="60">
      <c r="A165" s="85"/>
      <c r="B165" s="53" t="s">
        <v>32</v>
      </c>
      <c r="C165" s="15" t="s">
        <v>227</v>
      </c>
      <c r="D165" s="45" t="s">
        <v>54</v>
      </c>
      <c r="E165" s="27" t="s">
        <v>25</v>
      </c>
      <c r="F165" s="33" t="s">
        <v>25</v>
      </c>
      <c r="G165" s="33" t="s">
        <v>25</v>
      </c>
      <c r="H165" s="33" t="s">
        <v>25</v>
      </c>
      <c r="I165" s="33" t="s">
        <v>25</v>
      </c>
      <c r="J165" s="33" t="s">
        <v>25</v>
      </c>
      <c r="K165" s="33" t="s">
        <v>25</v>
      </c>
      <c r="L165" s="33" t="s">
        <v>25</v>
      </c>
      <c r="M165" s="33" t="s">
        <v>25</v>
      </c>
      <c r="N165" s="33" t="s">
        <v>25</v>
      </c>
      <c r="O165" s="14" t="s">
        <v>228</v>
      </c>
    </row>
    <row r="166" spans="1:15">
      <c r="A166" s="85"/>
      <c r="B166" s="25" t="s">
        <v>33</v>
      </c>
      <c r="C166" s="33" t="s">
        <v>51</v>
      </c>
      <c r="D166" s="45"/>
      <c r="E166" s="35"/>
      <c r="F166" s="38"/>
      <c r="G166" s="38"/>
      <c r="H166" s="38"/>
      <c r="I166" s="34"/>
      <c r="J166" s="35"/>
      <c r="K166" s="36"/>
      <c r="L166" s="34"/>
      <c r="M166" s="37"/>
      <c r="N166" s="36"/>
      <c r="O166" s="8"/>
    </row>
    <row r="167" spans="1:15">
      <c r="A167" s="85"/>
      <c r="B167" s="25" t="s">
        <v>34</v>
      </c>
      <c r="C167" s="33" t="s">
        <v>51</v>
      </c>
      <c r="D167" s="45"/>
      <c r="E167" s="35"/>
      <c r="F167" s="38"/>
      <c r="G167" s="38"/>
      <c r="H167" s="38"/>
      <c r="I167" s="34"/>
      <c r="J167" s="35"/>
      <c r="K167" s="36"/>
      <c r="L167" s="34"/>
      <c r="M167" s="37"/>
      <c r="N167" s="36"/>
      <c r="O167" s="8"/>
    </row>
    <row r="168" spans="1:15" ht="17.399999999999999">
      <c r="A168" s="85"/>
      <c r="B168" s="96" t="s">
        <v>229</v>
      </c>
      <c r="C168" s="97"/>
      <c r="D168" s="98"/>
      <c r="E168" s="10" t="str">
        <f t="shared" ref="E168:N168" si="17">DEC2HEX(E167*128+E166*64+E165*32+E164*16+E163*8+E162*4+E161*2+E160*1)</f>
        <v>0</v>
      </c>
      <c r="F168" s="11" t="str">
        <f t="shared" si="17"/>
        <v>0</v>
      </c>
      <c r="G168" s="11" t="str">
        <f t="shared" si="17"/>
        <v>F</v>
      </c>
      <c r="H168" s="11" t="str">
        <f t="shared" si="17"/>
        <v>F</v>
      </c>
      <c r="I168" s="12" t="str">
        <f t="shared" si="17"/>
        <v>F</v>
      </c>
      <c r="J168" s="10" t="str">
        <f t="shared" si="17"/>
        <v>F</v>
      </c>
      <c r="K168" s="13" t="str">
        <f t="shared" si="17"/>
        <v>F</v>
      </c>
      <c r="L168" s="12" t="str">
        <f t="shared" si="17"/>
        <v>F</v>
      </c>
      <c r="M168" s="12" t="str">
        <f t="shared" si="17"/>
        <v>F</v>
      </c>
      <c r="N168" s="12" t="str">
        <f t="shared" si="17"/>
        <v>F</v>
      </c>
      <c r="O168" s="8"/>
    </row>
    <row r="169" spans="1:15" ht="30">
      <c r="A169" s="85"/>
      <c r="B169" s="53" t="s">
        <v>22</v>
      </c>
      <c r="C169" s="15" t="s">
        <v>273</v>
      </c>
      <c r="D169" s="45" t="s">
        <v>54</v>
      </c>
      <c r="E169" s="27" t="s">
        <v>25</v>
      </c>
      <c r="F169" s="27" t="s">
        <v>25</v>
      </c>
      <c r="G169" s="27" t="s">
        <v>25</v>
      </c>
      <c r="H169" s="27" t="s">
        <v>48</v>
      </c>
      <c r="I169" s="27" t="s">
        <v>25</v>
      </c>
      <c r="J169" s="27" t="s">
        <v>48</v>
      </c>
      <c r="K169" s="29" t="s">
        <v>25</v>
      </c>
      <c r="L169" s="30" t="s">
        <v>48</v>
      </c>
      <c r="M169" s="20" t="s">
        <v>48</v>
      </c>
      <c r="N169" s="19" t="s">
        <v>48</v>
      </c>
      <c r="O169" s="120" t="s">
        <v>230</v>
      </c>
    </row>
    <row r="170" spans="1:15" ht="30">
      <c r="A170" s="85"/>
      <c r="B170" s="53" t="s">
        <v>26</v>
      </c>
      <c r="C170" s="15" t="s">
        <v>274</v>
      </c>
      <c r="D170" s="45" t="s">
        <v>54</v>
      </c>
      <c r="E170" s="27" t="s">
        <v>25</v>
      </c>
      <c r="F170" s="27" t="s">
        <v>25</v>
      </c>
      <c r="G170" s="27" t="s">
        <v>25</v>
      </c>
      <c r="H170" s="27" t="s">
        <v>48</v>
      </c>
      <c r="I170" s="27" t="s">
        <v>25</v>
      </c>
      <c r="J170" s="27" t="s">
        <v>48</v>
      </c>
      <c r="K170" s="29" t="s">
        <v>25</v>
      </c>
      <c r="L170" s="30" t="s">
        <v>48</v>
      </c>
      <c r="M170" s="20" t="s">
        <v>48</v>
      </c>
      <c r="N170" s="19" t="s">
        <v>48</v>
      </c>
      <c r="O170" s="121"/>
    </row>
    <row r="171" spans="1:15" ht="30">
      <c r="A171" s="85"/>
      <c r="B171" s="53" t="s">
        <v>27</v>
      </c>
      <c r="C171" s="15" t="s">
        <v>231</v>
      </c>
      <c r="D171" s="45" t="s">
        <v>54</v>
      </c>
      <c r="E171" s="17" t="s">
        <v>25</v>
      </c>
      <c r="F171" s="16" t="s">
        <v>25</v>
      </c>
      <c r="G171" s="16" t="s">
        <v>25</v>
      </c>
      <c r="H171" s="16" t="s">
        <v>25</v>
      </c>
      <c r="I171" s="18" t="s">
        <v>48</v>
      </c>
      <c r="J171" s="18" t="s">
        <v>48</v>
      </c>
      <c r="K171" s="18" t="s">
        <v>48</v>
      </c>
      <c r="L171" s="18" t="s">
        <v>48</v>
      </c>
      <c r="M171" s="18" t="s">
        <v>48</v>
      </c>
      <c r="N171" s="18" t="s">
        <v>48</v>
      </c>
      <c r="O171" s="121"/>
    </row>
    <row r="172" spans="1:15" ht="30">
      <c r="A172" s="85"/>
      <c r="B172" s="53" t="s">
        <v>28</v>
      </c>
      <c r="C172" s="15" t="s">
        <v>232</v>
      </c>
      <c r="D172" s="45" t="s">
        <v>267</v>
      </c>
      <c r="E172" s="17" t="s">
        <v>25</v>
      </c>
      <c r="F172" s="16" t="s">
        <v>25</v>
      </c>
      <c r="G172" s="33" t="s">
        <v>25</v>
      </c>
      <c r="H172" s="16" t="s">
        <v>25</v>
      </c>
      <c r="I172" s="18" t="s">
        <v>48</v>
      </c>
      <c r="J172" s="18" t="s">
        <v>48</v>
      </c>
      <c r="K172" s="18" t="s">
        <v>48</v>
      </c>
      <c r="L172" s="18" t="s">
        <v>48</v>
      </c>
      <c r="M172" s="18" t="s">
        <v>48</v>
      </c>
      <c r="N172" s="18" t="s">
        <v>48</v>
      </c>
      <c r="O172" s="122"/>
    </row>
    <row r="173" spans="1:15" ht="24" customHeight="1">
      <c r="A173" s="85"/>
      <c r="B173" s="53" t="s">
        <v>29</v>
      </c>
      <c r="C173" s="87" t="s">
        <v>265</v>
      </c>
      <c r="D173" s="129" t="s">
        <v>269</v>
      </c>
      <c r="E173" s="17" t="s">
        <v>25</v>
      </c>
      <c r="F173" s="16" t="s">
        <v>25</v>
      </c>
      <c r="G173" s="16" t="s">
        <v>25</v>
      </c>
      <c r="H173" s="27" t="s">
        <v>48</v>
      </c>
      <c r="I173" s="27" t="s">
        <v>25</v>
      </c>
      <c r="J173" s="18" t="s">
        <v>48</v>
      </c>
      <c r="K173" s="29" t="s">
        <v>25</v>
      </c>
      <c r="L173" s="18" t="s">
        <v>48</v>
      </c>
      <c r="M173" s="18" t="s">
        <v>48</v>
      </c>
      <c r="N173" s="18" t="s">
        <v>48</v>
      </c>
      <c r="O173" s="14"/>
    </row>
    <row r="174" spans="1:15" ht="34.5" customHeight="1">
      <c r="A174" s="85"/>
      <c r="B174" s="53" t="s">
        <v>32</v>
      </c>
      <c r="C174" s="89"/>
      <c r="D174" s="130"/>
      <c r="E174" s="17" t="s">
        <v>25</v>
      </c>
      <c r="F174" s="16" t="s">
        <v>25</v>
      </c>
      <c r="G174" s="33" t="s">
        <v>25</v>
      </c>
      <c r="H174" s="27" t="s">
        <v>48</v>
      </c>
      <c r="I174" s="27" t="s">
        <v>25</v>
      </c>
      <c r="J174" s="18" t="s">
        <v>48</v>
      </c>
      <c r="K174" s="29" t="s">
        <v>25</v>
      </c>
      <c r="L174" s="18" t="s">
        <v>48</v>
      </c>
      <c r="M174" s="18" t="s">
        <v>48</v>
      </c>
      <c r="N174" s="18" t="s">
        <v>48</v>
      </c>
      <c r="O174" s="8"/>
    </row>
    <row r="175" spans="1:15" ht="30.75" customHeight="1">
      <c r="A175" s="85"/>
      <c r="B175" s="53" t="s">
        <v>33</v>
      </c>
      <c r="C175" s="87" t="s">
        <v>266</v>
      </c>
      <c r="D175" s="129" t="s">
        <v>270</v>
      </c>
      <c r="E175" s="17" t="s">
        <v>25</v>
      </c>
      <c r="F175" s="16" t="s">
        <v>25</v>
      </c>
      <c r="G175" s="16" t="s">
        <v>25</v>
      </c>
      <c r="H175" s="16" t="s">
        <v>25</v>
      </c>
      <c r="I175" s="18" t="s">
        <v>48</v>
      </c>
      <c r="J175" s="18" t="s">
        <v>271</v>
      </c>
      <c r="K175" s="18" t="s">
        <v>48</v>
      </c>
      <c r="L175" s="18" t="s">
        <v>271</v>
      </c>
      <c r="M175" s="18" t="s">
        <v>271</v>
      </c>
      <c r="N175" s="18" t="s">
        <v>271</v>
      </c>
      <c r="O175" s="8"/>
    </row>
    <row r="176" spans="1:15" ht="19.5" customHeight="1">
      <c r="A176" s="85"/>
      <c r="B176" s="53" t="s">
        <v>34</v>
      </c>
      <c r="C176" s="89"/>
      <c r="D176" s="130"/>
      <c r="E176" s="17" t="s">
        <v>25</v>
      </c>
      <c r="F176" s="16" t="s">
        <v>25</v>
      </c>
      <c r="G176" s="33" t="s">
        <v>25</v>
      </c>
      <c r="H176" s="16" t="s">
        <v>25</v>
      </c>
      <c r="I176" s="18" t="s">
        <v>48</v>
      </c>
      <c r="J176" s="18" t="s">
        <v>271</v>
      </c>
      <c r="K176" s="18" t="s">
        <v>48</v>
      </c>
      <c r="L176" s="18" t="s">
        <v>271</v>
      </c>
      <c r="M176" s="18" t="s">
        <v>271</v>
      </c>
      <c r="N176" s="18" t="s">
        <v>271</v>
      </c>
      <c r="O176" s="8"/>
    </row>
    <row r="177" spans="1:15" ht="17.399999999999999">
      <c r="A177" s="85"/>
      <c r="B177" s="96" t="s">
        <v>233</v>
      </c>
      <c r="C177" s="97"/>
      <c r="D177" s="98"/>
      <c r="E177" s="10" t="str">
        <f t="shared" ref="E177:N177" si="18">DEC2HEX(E176*128+E175*64+E174*32+E173*16+E172*8+E171*4+E170*2+E169*1)</f>
        <v>0</v>
      </c>
      <c r="F177" s="11" t="str">
        <f t="shared" si="18"/>
        <v>0</v>
      </c>
      <c r="G177" s="11" t="str">
        <f t="shared" si="18"/>
        <v>0</v>
      </c>
      <c r="H177" s="11" t="str">
        <f t="shared" si="18"/>
        <v>33</v>
      </c>
      <c r="I177" s="12" t="str">
        <f t="shared" si="18"/>
        <v>CC</v>
      </c>
      <c r="J177" s="10" t="str">
        <f t="shared" si="18"/>
        <v>1BF</v>
      </c>
      <c r="K177" s="13" t="str">
        <f t="shared" si="18"/>
        <v>CC</v>
      </c>
      <c r="L177" s="12" t="str">
        <f t="shared" si="18"/>
        <v>1BF</v>
      </c>
      <c r="M177" s="12" t="str">
        <f t="shared" si="18"/>
        <v>1BF</v>
      </c>
      <c r="N177" s="12" t="str">
        <f t="shared" si="18"/>
        <v>1BF</v>
      </c>
      <c r="O177" s="8"/>
    </row>
    <row r="178" spans="1:15">
      <c r="A178" s="85"/>
      <c r="B178" s="53" t="s">
        <v>22</v>
      </c>
      <c r="C178" s="123" t="s">
        <v>234</v>
      </c>
      <c r="D178" s="125" t="s">
        <v>235</v>
      </c>
      <c r="E178" s="93" t="s">
        <v>25</v>
      </c>
      <c r="F178" s="93" t="s">
        <v>25</v>
      </c>
      <c r="G178" s="93" t="s">
        <v>25</v>
      </c>
      <c r="H178" s="93" t="s">
        <v>25</v>
      </c>
      <c r="I178" s="93" t="s">
        <v>25</v>
      </c>
      <c r="J178" s="93" t="s">
        <v>25</v>
      </c>
      <c r="K178" s="93" t="s">
        <v>25</v>
      </c>
      <c r="L178" s="93" t="s">
        <v>25</v>
      </c>
      <c r="M178" s="93" t="s">
        <v>48</v>
      </c>
      <c r="N178" s="93" t="s">
        <v>48</v>
      </c>
      <c r="O178" s="8" t="s">
        <v>96</v>
      </c>
    </row>
    <row r="179" spans="1:15">
      <c r="A179" s="85"/>
      <c r="B179" s="53" t="s">
        <v>26</v>
      </c>
      <c r="C179" s="124"/>
      <c r="D179" s="126"/>
      <c r="E179" s="95"/>
      <c r="F179" s="95"/>
      <c r="G179" s="95"/>
      <c r="H179" s="95"/>
      <c r="I179" s="95" t="s">
        <v>25</v>
      </c>
      <c r="J179" s="95" t="s">
        <v>48</v>
      </c>
      <c r="K179" s="95" t="s">
        <v>48</v>
      </c>
      <c r="L179" s="95" t="s">
        <v>48</v>
      </c>
      <c r="M179" s="95" t="s">
        <v>48</v>
      </c>
      <c r="N179" s="95" t="s">
        <v>48</v>
      </c>
      <c r="O179" s="8"/>
    </row>
    <row r="180" spans="1:15">
      <c r="A180" s="85"/>
      <c r="B180" s="53" t="s">
        <v>27</v>
      </c>
      <c r="C180" s="123" t="s">
        <v>236</v>
      </c>
      <c r="D180" s="125" t="s">
        <v>237</v>
      </c>
      <c r="E180" s="93" t="s">
        <v>25</v>
      </c>
      <c r="F180" s="93" t="s">
        <v>25</v>
      </c>
      <c r="G180" s="93" t="s">
        <v>25</v>
      </c>
      <c r="H180" s="93" t="s">
        <v>25</v>
      </c>
      <c r="I180" s="93" t="s">
        <v>25</v>
      </c>
      <c r="J180" s="93" t="s">
        <v>25</v>
      </c>
      <c r="K180" s="93" t="s">
        <v>48</v>
      </c>
      <c r="L180" s="93" t="s">
        <v>48</v>
      </c>
      <c r="M180" s="93" t="s">
        <v>48</v>
      </c>
      <c r="N180" s="93" t="s">
        <v>48</v>
      </c>
      <c r="O180" s="8" t="s">
        <v>96</v>
      </c>
    </row>
    <row r="181" spans="1:15">
      <c r="A181" s="85"/>
      <c r="B181" s="53" t="s">
        <v>28</v>
      </c>
      <c r="C181" s="124"/>
      <c r="D181" s="126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8"/>
    </row>
    <row r="182" spans="1:15" ht="45">
      <c r="A182" s="85"/>
      <c r="B182" s="53" t="s">
        <v>29</v>
      </c>
      <c r="C182" s="15" t="s">
        <v>238</v>
      </c>
      <c r="D182" s="45" t="s">
        <v>54</v>
      </c>
      <c r="E182" s="17" t="s">
        <v>25</v>
      </c>
      <c r="F182" s="16" t="s">
        <v>48</v>
      </c>
      <c r="G182" s="18" t="s">
        <v>48</v>
      </c>
      <c r="H182" s="17" t="s">
        <v>48</v>
      </c>
      <c r="I182" s="18" t="s">
        <v>48</v>
      </c>
      <c r="J182" s="17" t="s">
        <v>48</v>
      </c>
      <c r="K182" s="19" t="s">
        <v>48</v>
      </c>
      <c r="L182" s="19" t="s">
        <v>48</v>
      </c>
      <c r="M182" s="19" t="s">
        <v>48</v>
      </c>
      <c r="N182" s="19" t="s">
        <v>48</v>
      </c>
      <c r="O182" s="14" t="s">
        <v>239</v>
      </c>
    </row>
    <row r="183" spans="1:15" ht="45">
      <c r="A183" s="85"/>
      <c r="B183" s="53" t="s">
        <v>32</v>
      </c>
      <c r="C183" s="15" t="s">
        <v>240</v>
      </c>
      <c r="D183" s="45" t="s">
        <v>54</v>
      </c>
      <c r="E183" s="17" t="s">
        <v>25</v>
      </c>
      <c r="F183" s="17" t="s">
        <v>25</v>
      </c>
      <c r="G183" s="17" t="s">
        <v>25</v>
      </c>
      <c r="H183" s="17" t="s">
        <v>25</v>
      </c>
      <c r="I183" s="18" t="s">
        <v>48</v>
      </c>
      <c r="J183" s="17" t="s">
        <v>48</v>
      </c>
      <c r="K183" s="19" t="s">
        <v>48</v>
      </c>
      <c r="L183" s="19" t="s">
        <v>48</v>
      </c>
      <c r="M183" s="19" t="s">
        <v>48</v>
      </c>
      <c r="N183" s="19" t="s">
        <v>48</v>
      </c>
      <c r="O183" s="32" t="s">
        <v>241</v>
      </c>
    </row>
    <row r="184" spans="1:15">
      <c r="A184" s="85"/>
      <c r="B184" s="25" t="s">
        <v>33</v>
      </c>
      <c r="C184" s="33" t="s">
        <v>51</v>
      </c>
      <c r="D184" s="45"/>
      <c r="E184" s="35"/>
      <c r="F184" s="38"/>
      <c r="G184" s="38"/>
      <c r="H184" s="38"/>
      <c r="I184" s="34"/>
      <c r="J184" s="35"/>
      <c r="K184" s="36"/>
      <c r="L184" s="34"/>
      <c r="M184" s="37"/>
      <c r="N184" s="36"/>
      <c r="O184" s="8"/>
    </row>
    <row r="185" spans="1:15">
      <c r="A185" s="85"/>
      <c r="B185" s="25" t="s">
        <v>34</v>
      </c>
      <c r="C185" s="33" t="s">
        <v>51</v>
      </c>
      <c r="D185" s="45"/>
      <c r="E185" s="35"/>
      <c r="F185" s="38"/>
      <c r="G185" s="38"/>
      <c r="H185" s="38"/>
      <c r="I185" s="34"/>
      <c r="J185" s="35"/>
      <c r="K185" s="36"/>
      <c r="L185" s="34"/>
      <c r="M185" s="37"/>
      <c r="N185" s="36"/>
      <c r="O185" s="8"/>
    </row>
    <row r="186" spans="1:15" ht="17.399999999999999">
      <c r="A186" s="85"/>
      <c r="B186" s="96" t="s">
        <v>242</v>
      </c>
      <c r="C186" s="97"/>
      <c r="D186" s="98"/>
      <c r="E186" s="10" t="str">
        <f t="shared" ref="E186:N186" si="19">DEC2HEX(E185*128+E184*64+E183*32+E182*16+E181*8+E180*4+E179*2+E178*1)</f>
        <v>0</v>
      </c>
      <c r="F186" s="11" t="str">
        <f t="shared" si="19"/>
        <v>10</v>
      </c>
      <c r="G186" s="11" t="str">
        <f t="shared" si="19"/>
        <v>10</v>
      </c>
      <c r="H186" s="11" t="str">
        <f t="shared" si="19"/>
        <v>10</v>
      </c>
      <c r="I186" s="12" t="str">
        <f t="shared" si="19"/>
        <v>30</v>
      </c>
      <c r="J186" s="10" t="str">
        <f t="shared" si="19"/>
        <v>32</v>
      </c>
      <c r="K186" s="11" t="str">
        <f t="shared" si="19"/>
        <v>36</v>
      </c>
      <c r="L186" s="12" t="str">
        <f t="shared" si="19"/>
        <v>36</v>
      </c>
      <c r="M186" s="12" t="str">
        <f t="shared" si="19"/>
        <v>37</v>
      </c>
      <c r="N186" s="12" t="str">
        <f t="shared" si="19"/>
        <v>37</v>
      </c>
      <c r="O186" s="8"/>
    </row>
    <row r="187" spans="1:15" ht="60">
      <c r="A187" s="85"/>
      <c r="B187" s="53" t="s">
        <v>22</v>
      </c>
      <c r="C187" s="87" t="s">
        <v>243</v>
      </c>
      <c r="D187" s="112" t="s">
        <v>268</v>
      </c>
      <c r="E187" s="127" t="s">
        <v>25</v>
      </c>
      <c r="F187" s="127" t="s">
        <v>25</v>
      </c>
      <c r="G187" s="127" t="s">
        <v>48</v>
      </c>
      <c r="H187" s="127" t="s">
        <v>48</v>
      </c>
      <c r="I187" s="127" t="s">
        <v>48</v>
      </c>
      <c r="J187" s="127" t="s">
        <v>48</v>
      </c>
      <c r="K187" s="127" t="s">
        <v>48</v>
      </c>
      <c r="L187" s="127" t="s">
        <v>48</v>
      </c>
      <c r="M187" s="127" t="s">
        <v>48</v>
      </c>
      <c r="N187" s="127" t="s">
        <v>48</v>
      </c>
      <c r="O187" s="14" t="s">
        <v>244</v>
      </c>
    </row>
    <row r="188" spans="1:15">
      <c r="A188" s="85"/>
      <c r="B188" s="53" t="s">
        <v>26</v>
      </c>
      <c r="C188" s="89"/>
      <c r="D188" s="113"/>
      <c r="E188" s="128"/>
      <c r="F188" s="128" t="s">
        <v>25</v>
      </c>
      <c r="G188" s="128" t="s">
        <v>25</v>
      </c>
      <c r="H188" s="128" t="s">
        <v>25</v>
      </c>
      <c r="I188" s="128" t="s">
        <v>25</v>
      </c>
      <c r="J188" s="128" t="s">
        <v>25</v>
      </c>
      <c r="K188" s="128" t="s">
        <v>25</v>
      </c>
      <c r="L188" s="128" t="s">
        <v>25</v>
      </c>
      <c r="M188" s="128" t="s">
        <v>25</v>
      </c>
      <c r="N188" s="128" t="s">
        <v>25</v>
      </c>
      <c r="O188" s="8"/>
    </row>
    <row r="189" spans="1:15">
      <c r="A189" s="85"/>
      <c r="B189" s="53" t="s">
        <v>27</v>
      </c>
      <c r="C189" s="87" t="s">
        <v>245</v>
      </c>
      <c r="D189" s="112" t="s">
        <v>246</v>
      </c>
      <c r="E189" s="127" t="s">
        <v>25</v>
      </c>
      <c r="F189" s="127" t="s">
        <v>25</v>
      </c>
      <c r="G189" s="127" t="s">
        <v>25</v>
      </c>
      <c r="H189" s="127" t="s">
        <v>25</v>
      </c>
      <c r="I189" s="127" t="s">
        <v>25</v>
      </c>
      <c r="J189" s="127" t="s">
        <v>25</v>
      </c>
      <c r="K189" s="127" t="s">
        <v>25</v>
      </c>
      <c r="L189" s="127" t="s">
        <v>25</v>
      </c>
      <c r="M189" s="127" t="s">
        <v>25</v>
      </c>
      <c r="N189" s="127" t="s">
        <v>25</v>
      </c>
      <c r="O189" s="8" t="s">
        <v>96</v>
      </c>
    </row>
    <row r="190" spans="1:15">
      <c r="A190" s="85"/>
      <c r="B190" s="53" t="s">
        <v>28</v>
      </c>
      <c r="C190" s="89"/>
      <c r="D190" s="113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8"/>
    </row>
    <row r="191" spans="1:15" ht="75">
      <c r="A191" s="85"/>
      <c r="B191" s="53" t="s">
        <v>29</v>
      </c>
      <c r="C191" s="87" t="s">
        <v>247</v>
      </c>
      <c r="D191" s="112" t="s">
        <v>248</v>
      </c>
      <c r="E191" s="127" t="s">
        <v>25</v>
      </c>
      <c r="F191" s="127" t="s">
        <v>25</v>
      </c>
      <c r="G191" s="127" t="s">
        <v>48</v>
      </c>
      <c r="H191" s="127" t="s">
        <v>48</v>
      </c>
      <c r="I191" s="127" t="s">
        <v>48</v>
      </c>
      <c r="J191" s="127" t="s">
        <v>48</v>
      </c>
      <c r="K191" s="127" t="s">
        <v>48</v>
      </c>
      <c r="L191" s="127" t="s">
        <v>48</v>
      </c>
      <c r="M191" s="127" t="s">
        <v>48</v>
      </c>
      <c r="N191" s="127" t="s">
        <v>48</v>
      </c>
      <c r="O191" s="14" t="s">
        <v>249</v>
      </c>
    </row>
    <row r="192" spans="1:15">
      <c r="A192" s="85"/>
      <c r="B192" s="53" t="s">
        <v>32</v>
      </c>
      <c r="C192" s="89"/>
      <c r="D192" s="113"/>
      <c r="E192" s="128"/>
      <c r="F192" s="128"/>
      <c r="G192" s="128" t="s">
        <v>25</v>
      </c>
      <c r="H192" s="128" t="s">
        <v>25</v>
      </c>
      <c r="I192" s="128" t="s">
        <v>25</v>
      </c>
      <c r="J192" s="128" t="s">
        <v>25</v>
      </c>
      <c r="K192" s="128" t="s">
        <v>25</v>
      </c>
      <c r="L192" s="128" t="s">
        <v>25</v>
      </c>
      <c r="M192" s="128" t="s">
        <v>25</v>
      </c>
      <c r="N192" s="128" t="s">
        <v>25</v>
      </c>
      <c r="O192" s="8"/>
    </row>
    <row r="193" spans="1:15" ht="30">
      <c r="A193" s="85"/>
      <c r="B193" s="53" t="s">
        <v>33</v>
      </c>
      <c r="C193" s="15" t="s">
        <v>250</v>
      </c>
      <c r="D193" s="45" t="s">
        <v>251</v>
      </c>
      <c r="E193" s="17" t="s">
        <v>25</v>
      </c>
      <c r="F193" s="17" t="s">
        <v>25</v>
      </c>
      <c r="G193" s="17" t="s">
        <v>25</v>
      </c>
      <c r="H193" s="17" t="s">
        <v>25</v>
      </c>
      <c r="I193" s="17" t="s">
        <v>25</v>
      </c>
      <c r="J193" s="17" t="s">
        <v>25</v>
      </c>
      <c r="K193" s="17" t="s">
        <v>25</v>
      </c>
      <c r="L193" s="17" t="s">
        <v>25</v>
      </c>
      <c r="M193" s="17" t="s">
        <v>25</v>
      </c>
      <c r="N193" s="17" t="s">
        <v>25</v>
      </c>
      <c r="O193" s="8" t="s">
        <v>96</v>
      </c>
    </row>
    <row r="194" spans="1:15" ht="30">
      <c r="A194" s="85"/>
      <c r="B194" s="53" t="s">
        <v>34</v>
      </c>
      <c r="C194" s="15" t="s">
        <v>252</v>
      </c>
      <c r="D194" s="45" t="s">
        <v>251</v>
      </c>
      <c r="E194" s="17" t="s">
        <v>25</v>
      </c>
      <c r="F194" s="17" t="s">
        <v>25</v>
      </c>
      <c r="G194" s="17" t="s">
        <v>25</v>
      </c>
      <c r="H194" s="17" t="s">
        <v>25</v>
      </c>
      <c r="I194" s="17" t="s">
        <v>25</v>
      </c>
      <c r="J194" s="17" t="s">
        <v>25</v>
      </c>
      <c r="K194" s="17" t="s">
        <v>25</v>
      </c>
      <c r="L194" s="17" t="s">
        <v>25</v>
      </c>
      <c r="M194" s="17" t="s">
        <v>25</v>
      </c>
      <c r="N194" s="17" t="s">
        <v>25</v>
      </c>
      <c r="O194" s="8" t="s">
        <v>96</v>
      </c>
    </row>
    <row r="195" spans="1:15" ht="17.399999999999999">
      <c r="A195" s="85"/>
      <c r="B195" s="96" t="s">
        <v>253</v>
      </c>
      <c r="C195" s="97"/>
      <c r="D195" s="98"/>
      <c r="E195" s="10" t="str">
        <f t="shared" ref="E195:N195" si="20">DEC2HEX(E194*128+E193*64+E192*32+E191*16+E190*8+E189*4+E188*2+E187*1)</f>
        <v>0</v>
      </c>
      <c r="F195" s="11" t="str">
        <f t="shared" si="20"/>
        <v>0</v>
      </c>
      <c r="G195" s="11" t="str">
        <f t="shared" si="20"/>
        <v>11</v>
      </c>
      <c r="H195" s="11" t="str">
        <f t="shared" si="20"/>
        <v>11</v>
      </c>
      <c r="I195" s="12" t="str">
        <f t="shared" si="20"/>
        <v>11</v>
      </c>
      <c r="J195" s="10" t="str">
        <f t="shared" si="20"/>
        <v>11</v>
      </c>
      <c r="K195" s="11" t="str">
        <f t="shared" si="20"/>
        <v>11</v>
      </c>
      <c r="L195" s="12" t="str">
        <f t="shared" si="20"/>
        <v>11</v>
      </c>
      <c r="M195" s="12" t="str">
        <f t="shared" si="20"/>
        <v>11</v>
      </c>
      <c r="N195" s="12" t="str">
        <f t="shared" si="20"/>
        <v>11</v>
      </c>
      <c r="O195" s="8"/>
    </row>
    <row r="196" spans="1:15" ht="30">
      <c r="A196" s="85"/>
      <c r="B196" s="53" t="s">
        <v>22</v>
      </c>
      <c r="C196" s="15" t="s">
        <v>254</v>
      </c>
      <c r="D196" s="45" t="s">
        <v>251</v>
      </c>
      <c r="E196" s="17" t="s">
        <v>25</v>
      </c>
      <c r="F196" s="16" t="s">
        <v>25</v>
      </c>
      <c r="G196" s="16" t="s">
        <v>25</v>
      </c>
      <c r="H196" s="16" t="s">
        <v>25</v>
      </c>
      <c r="I196" s="18" t="s">
        <v>25</v>
      </c>
      <c r="J196" s="17" t="s">
        <v>48</v>
      </c>
      <c r="K196" s="19" t="s">
        <v>25</v>
      </c>
      <c r="L196" s="18" t="s">
        <v>48</v>
      </c>
      <c r="M196" s="18" t="s">
        <v>48</v>
      </c>
      <c r="N196" s="18" t="s">
        <v>48</v>
      </c>
      <c r="O196" s="8" t="s">
        <v>96</v>
      </c>
    </row>
    <row r="197" spans="1:15" ht="30">
      <c r="A197" s="85"/>
      <c r="B197" s="53" t="s">
        <v>26</v>
      </c>
      <c r="C197" s="15" t="s">
        <v>255</v>
      </c>
      <c r="D197" s="45" t="s">
        <v>251</v>
      </c>
      <c r="E197" s="17" t="s">
        <v>25</v>
      </c>
      <c r="F197" s="16" t="s">
        <v>25</v>
      </c>
      <c r="G197" s="16" t="s">
        <v>25</v>
      </c>
      <c r="H197" s="16" t="s">
        <v>25</v>
      </c>
      <c r="I197" s="18" t="s">
        <v>25</v>
      </c>
      <c r="J197" s="17" t="s">
        <v>48</v>
      </c>
      <c r="K197" s="17" t="s">
        <v>25</v>
      </c>
      <c r="L197" s="17" t="s">
        <v>48</v>
      </c>
      <c r="M197" s="17" t="s">
        <v>48</v>
      </c>
      <c r="N197" s="17" t="s">
        <v>48</v>
      </c>
      <c r="O197" s="8" t="s">
        <v>96</v>
      </c>
    </row>
    <row r="198" spans="1:15">
      <c r="A198" s="85"/>
      <c r="B198" s="25" t="s">
        <v>27</v>
      </c>
      <c r="C198" s="33" t="s">
        <v>51</v>
      </c>
      <c r="D198" s="45"/>
      <c r="E198" s="35"/>
      <c r="F198" s="38"/>
      <c r="G198" s="38"/>
      <c r="H198" s="38"/>
      <c r="I198" s="34"/>
      <c r="J198" s="35"/>
      <c r="K198" s="36"/>
      <c r="L198" s="34"/>
      <c r="M198" s="37"/>
      <c r="N198" s="36"/>
      <c r="O198" s="8"/>
    </row>
    <row r="199" spans="1:15">
      <c r="A199" s="85"/>
      <c r="B199" s="25" t="s">
        <v>28</v>
      </c>
      <c r="C199" s="33" t="s">
        <v>51</v>
      </c>
      <c r="D199" s="45"/>
      <c r="E199" s="35"/>
      <c r="F199" s="38"/>
      <c r="G199" s="38"/>
      <c r="H199" s="38"/>
      <c r="I199" s="34"/>
      <c r="J199" s="35"/>
      <c r="K199" s="36"/>
      <c r="L199" s="34"/>
      <c r="M199" s="37"/>
      <c r="N199" s="36"/>
      <c r="O199" s="8"/>
    </row>
    <row r="200" spans="1:15">
      <c r="A200" s="85"/>
      <c r="B200" s="25" t="s">
        <v>29</v>
      </c>
      <c r="C200" s="33" t="s">
        <v>51</v>
      </c>
      <c r="D200" s="45"/>
      <c r="E200" s="35"/>
      <c r="F200" s="38"/>
      <c r="G200" s="38"/>
      <c r="H200" s="38"/>
      <c r="I200" s="34"/>
      <c r="J200" s="35"/>
      <c r="K200" s="36"/>
      <c r="L200" s="34"/>
      <c r="M200" s="37"/>
      <c r="N200" s="36"/>
      <c r="O200" s="8"/>
    </row>
    <row r="201" spans="1:15">
      <c r="A201" s="85"/>
      <c r="B201" s="25" t="s">
        <v>32</v>
      </c>
      <c r="C201" s="33" t="s">
        <v>51</v>
      </c>
      <c r="D201" s="45"/>
      <c r="E201" s="35"/>
      <c r="F201" s="38"/>
      <c r="G201" s="38"/>
      <c r="H201" s="38"/>
      <c r="I201" s="34"/>
      <c r="J201" s="35"/>
      <c r="K201" s="36"/>
      <c r="L201" s="34"/>
      <c r="M201" s="37"/>
      <c r="N201" s="36"/>
      <c r="O201" s="8"/>
    </row>
    <row r="202" spans="1:15">
      <c r="A202" s="85"/>
      <c r="B202" s="25" t="s">
        <v>33</v>
      </c>
      <c r="C202" s="33" t="s">
        <v>51</v>
      </c>
      <c r="D202" s="45"/>
      <c r="E202" s="35"/>
      <c r="F202" s="38"/>
      <c r="G202" s="38"/>
      <c r="H202" s="38"/>
      <c r="I202" s="34"/>
      <c r="J202" s="35"/>
      <c r="K202" s="36"/>
      <c r="L202" s="34"/>
      <c r="M202" s="37"/>
      <c r="N202" s="36"/>
      <c r="O202" s="8"/>
    </row>
    <row r="203" spans="1:15">
      <c r="A203" s="85"/>
      <c r="B203" s="25" t="s">
        <v>34</v>
      </c>
      <c r="C203" s="33" t="s">
        <v>51</v>
      </c>
      <c r="D203" s="45"/>
      <c r="E203" s="35"/>
      <c r="F203" s="38"/>
      <c r="G203" s="38"/>
      <c r="H203" s="38"/>
      <c r="I203" s="34"/>
      <c r="J203" s="35"/>
      <c r="K203" s="36"/>
      <c r="L203" s="34"/>
      <c r="M203" s="37"/>
      <c r="N203" s="36"/>
      <c r="O203" s="8"/>
    </row>
    <row r="204" spans="1:15" ht="17.399999999999999">
      <c r="A204" s="85"/>
      <c r="B204" s="96" t="s">
        <v>256</v>
      </c>
      <c r="C204" s="97"/>
      <c r="D204" s="98"/>
      <c r="E204" s="10" t="str">
        <f t="shared" ref="E204:N204" si="21">DEC2HEX(E203*128+E202*64+E201*32+E200*16+E199*8+E198*4+E197*2+E196*1)</f>
        <v>0</v>
      </c>
      <c r="F204" s="11" t="str">
        <f t="shared" si="21"/>
        <v>0</v>
      </c>
      <c r="G204" s="11" t="str">
        <f t="shared" si="21"/>
        <v>0</v>
      </c>
      <c r="H204" s="11" t="str">
        <f t="shared" si="21"/>
        <v>0</v>
      </c>
      <c r="I204" s="12" t="str">
        <f t="shared" si="21"/>
        <v>0</v>
      </c>
      <c r="J204" s="10" t="str">
        <f t="shared" si="21"/>
        <v>3</v>
      </c>
      <c r="K204" s="13" t="str">
        <f t="shared" si="21"/>
        <v>0</v>
      </c>
      <c r="L204" s="12" t="str">
        <f t="shared" si="21"/>
        <v>3</v>
      </c>
      <c r="M204" s="12" t="str">
        <f t="shared" si="21"/>
        <v>3</v>
      </c>
      <c r="N204" s="12" t="str">
        <f t="shared" si="21"/>
        <v>3</v>
      </c>
      <c r="O204" s="8"/>
    </row>
    <row r="205" spans="1:15">
      <c r="A205" s="85"/>
      <c r="B205" s="25" t="s">
        <v>22</v>
      </c>
      <c r="C205" s="33" t="s">
        <v>51</v>
      </c>
      <c r="D205" s="45"/>
      <c r="E205" s="17"/>
      <c r="F205" s="16"/>
      <c r="G205" s="16"/>
      <c r="H205" s="16"/>
      <c r="I205" s="18"/>
      <c r="J205" s="17"/>
      <c r="K205" s="19"/>
      <c r="L205" s="18"/>
      <c r="M205" s="20"/>
      <c r="N205" s="19"/>
      <c r="O205" s="8"/>
    </row>
    <row r="206" spans="1:15">
      <c r="A206" s="85"/>
      <c r="B206" s="25" t="s">
        <v>26</v>
      </c>
      <c r="C206" s="33" t="s">
        <v>51</v>
      </c>
      <c r="D206" s="45"/>
      <c r="E206" s="35"/>
      <c r="F206" s="38"/>
      <c r="G206" s="38"/>
      <c r="H206" s="38"/>
      <c r="I206" s="34"/>
      <c r="J206" s="35"/>
      <c r="K206" s="36"/>
      <c r="L206" s="34"/>
      <c r="M206" s="37"/>
      <c r="N206" s="36"/>
      <c r="O206" s="8"/>
    </row>
    <row r="207" spans="1:15">
      <c r="A207" s="85"/>
      <c r="B207" s="25" t="s">
        <v>27</v>
      </c>
      <c r="C207" s="33" t="s">
        <v>51</v>
      </c>
      <c r="D207" s="45"/>
      <c r="E207" s="35"/>
      <c r="F207" s="38"/>
      <c r="G207" s="38"/>
      <c r="H207" s="38"/>
      <c r="I207" s="34"/>
      <c r="J207" s="35"/>
      <c r="K207" s="36"/>
      <c r="L207" s="34"/>
      <c r="M207" s="37"/>
      <c r="N207" s="36"/>
      <c r="O207" s="8"/>
    </row>
    <row r="208" spans="1:15">
      <c r="A208" s="85"/>
      <c r="B208" s="25" t="s">
        <v>28</v>
      </c>
      <c r="C208" s="33" t="s">
        <v>51</v>
      </c>
      <c r="D208" s="45"/>
      <c r="E208" s="35"/>
      <c r="F208" s="38"/>
      <c r="G208" s="38"/>
      <c r="H208" s="38"/>
      <c r="I208" s="34"/>
      <c r="J208" s="35"/>
      <c r="K208" s="36"/>
      <c r="L208" s="34"/>
      <c r="M208" s="37"/>
      <c r="N208" s="36"/>
      <c r="O208" s="8"/>
    </row>
    <row r="209" spans="1:15">
      <c r="A209" s="85"/>
      <c r="B209" s="25" t="s">
        <v>29</v>
      </c>
      <c r="C209" s="33" t="s">
        <v>51</v>
      </c>
      <c r="D209" s="45"/>
      <c r="E209" s="35"/>
      <c r="F209" s="38"/>
      <c r="G209" s="38"/>
      <c r="H209" s="38"/>
      <c r="I209" s="34"/>
      <c r="J209" s="35"/>
      <c r="K209" s="36"/>
      <c r="L209" s="34"/>
      <c r="M209" s="37"/>
      <c r="N209" s="36"/>
      <c r="O209" s="8"/>
    </row>
    <row r="210" spans="1:15">
      <c r="A210" s="85"/>
      <c r="B210" s="25" t="s">
        <v>32</v>
      </c>
      <c r="C210" s="33" t="s">
        <v>51</v>
      </c>
      <c r="D210" s="45"/>
      <c r="E210" s="35"/>
      <c r="F210" s="38"/>
      <c r="G210" s="38"/>
      <c r="H210" s="38"/>
      <c r="I210" s="34"/>
      <c r="J210" s="35"/>
      <c r="K210" s="36"/>
      <c r="L210" s="34"/>
      <c r="M210" s="37"/>
      <c r="N210" s="36"/>
      <c r="O210" s="8"/>
    </row>
    <row r="211" spans="1:15">
      <c r="A211" s="85"/>
      <c r="B211" s="25" t="s">
        <v>33</v>
      </c>
      <c r="C211" s="33" t="s">
        <v>51</v>
      </c>
      <c r="D211" s="45"/>
      <c r="E211" s="35"/>
      <c r="F211" s="38"/>
      <c r="G211" s="38"/>
      <c r="H211" s="38"/>
      <c r="I211" s="34"/>
      <c r="J211" s="35"/>
      <c r="K211" s="36"/>
      <c r="L211" s="34"/>
      <c r="M211" s="37"/>
      <c r="N211" s="36"/>
      <c r="O211" s="8"/>
    </row>
    <row r="212" spans="1:15">
      <c r="A212" s="85"/>
      <c r="B212" s="25" t="s">
        <v>34</v>
      </c>
      <c r="C212" s="33" t="s">
        <v>51</v>
      </c>
      <c r="D212" s="45"/>
      <c r="E212" s="35"/>
      <c r="F212" s="38"/>
      <c r="G212" s="38"/>
      <c r="H212" s="38"/>
      <c r="I212" s="34"/>
      <c r="J212" s="35"/>
      <c r="K212" s="36"/>
      <c r="L212" s="34"/>
      <c r="M212" s="37"/>
      <c r="N212" s="36"/>
      <c r="O212" s="8"/>
    </row>
    <row r="213" spans="1:15" ht="17.399999999999999">
      <c r="A213" s="85"/>
      <c r="B213" s="96" t="s">
        <v>257</v>
      </c>
      <c r="C213" s="97"/>
      <c r="D213" s="98"/>
      <c r="E213" s="10" t="str">
        <f t="shared" ref="E213:N213" si="22">DEC2HEX(E212*128+E211*64+E210*32+E209*16+E208*8+E207*4+E206*2+E205*1)</f>
        <v>0</v>
      </c>
      <c r="F213" s="11" t="str">
        <f t="shared" si="22"/>
        <v>0</v>
      </c>
      <c r="G213" s="11" t="str">
        <f t="shared" si="22"/>
        <v>0</v>
      </c>
      <c r="H213" s="11" t="str">
        <f t="shared" si="22"/>
        <v>0</v>
      </c>
      <c r="I213" s="12" t="str">
        <f t="shared" si="22"/>
        <v>0</v>
      </c>
      <c r="J213" s="10" t="str">
        <f t="shared" si="22"/>
        <v>0</v>
      </c>
      <c r="K213" s="13" t="str">
        <f t="shared" si="22"/>
        <v>0</v>
      </c>
      <c r="L213" s="12" t="str">
        <f t="shared" si="22"/>
        <v>0</v>
      </c>
      <c r="M213" s="12" t="str">
        <f t="shared" si="22"/>
        <v>0</v>
      </c>
      <c r="N213" s="12" t="str">
        <f t="shared" si="22"/>
        <v>0</v>
      </c>
      <c r="O213" s="8"/>
    </row>
    <row r="214" spans="1:15" ht="30">
      <c r="A214" s="85"/>
      <c r="B214" s="53" t="s">
        <v>22</v>
      </c>
      <c r="C214" s="15" t="s">
        <v>258</v>
      </c>
      <c r="D214" s="45" t="s">
        <v>251</v>
      </c>
      <c r="E214" s="17" t="s">
        <v>25</v>
      </c>
      <c r="F214" s="16" t="s">
        <v>25</v>
      </c>
      <c r="G214" s="16" t="s">
        <v>25</v>
      </c>
      <c r="H214" s="16" t="s">
        <v>25</v>
      </c>
      <c r="I214" s="18" t="s">
        <v>25</v>
      </c>
      <c r="J214" s="17" t="s">
        <v>25</v>
      </c>
      <c r="K214" s="19" t="s">
        <v>25</v>
      </c>
      <c r="L214" s="18" t="s">
        <v>25</v>
      </c>
      <c r="M214" s="18" t="s">
        <v>25</v>
      </c>
      <c r="N214" s="18" t="s">
        <v>25</v>
      </c>
      <c r="O214" s="8" t="s">
        <v>96</v>
      </c>
    </row>
    <row r="215" spans="1:15" ht="30">
      <c r="A215" s="85"/>
      <c r="B215" s="53" t="s">
        <v>26</v>
      </c>
      <c r="C215" s="15" t="s">
        <v>259</v>
      </c>
      <c r="D215" s="45" t="s">
        <v>54</v>
      </c>
      <c r="E215" s="17" t="s">
        <v>25</v>
      </c>
      <c r="F215" s="16" t="s">
        <v>25</v>
      </c>
      <c r="G215" s="16" t="s">
        <v>25</v>
      </c>
      <c r="H215" s="16" t="s">
        <v>25</v>
      </c>
      <c r="I215" s="18" t="s">
        <v>25</v>
      </c>
      <c r="J215" s="18" t="s">
        <v>25</v>
      </c>
      <c r="K215" s="18" t="s">
        <v>25</v>
      </c>
      <c r="L215" s="18" t="s">
        <v>25</v>
      </c>
      <c r="M215" s="18" t="s">
        <v>25</v>
      </c>
      <c r="N215" s="18" t="s">
        <v>25</v>
      </c>
      <c r="O215" s="8" t="s">
        <v>96</v>
      </c>
    </row>
    <row r="216" spans="1:15">
      <c r="A216" s="85"/>
      <c r="B216" s="25" t="s">
        <v>27</v>
      </c>
      <c r="C216" s="33" t="s">
        <v>51</v>
      </c>
      <c r="D216" s="45"/>
      <c r="E216" s="35"/>
      <c r="F216" s="38"/>
      <c r="G216" s="38"/>
      <c r="H216" s="38"/>
      <c r="I216" s="34"/>
      <c r="J216" s="35"/>
      <c r="K216" s="36"/>
      <c r="L216" s="34"/>
      <c r="M216" s="37"/>
      <c r="N216" s="36"/>
      <c r="O216" s="8"/>
    </row>
    <row r="217" spans="1:15">
      <c r="A217" s="85"/>
      <c r="B217" s="25" t="s">
        <v>28</v>
      </c>
      <c r="C217" s="33" t="s">
        <v>51</v>
      </c>
      <c r="D217" s="45"/>
      <c r="E217" s="35"/>
      <c r="F217" s="38"/>
      <c r="G217" s="38"/>
      <c r="H217" s="38"/>
      <c r="I217" s="34"/>
      <c r="J217" s="35"/>
      <c r="K217" s="36"/>
      <c r="L217" s="34"/>
      <c r="M217" s="37"/>
      <c r="N217" s="36"/>
      <c r="O217" s="8"/>
    </row>
    <row r="218" spans="1:15">
      <c r="A218" s="85"/>
      <c r="B218" s="25" t="s">
        <v>29</v>
      </c>
      <c r="C218" s="33" t="s">
        <v>51</v>
      </c>
      <c r="D218" s="45"/>
      <c r="E218" s="35"/>
      <c r="F218" s="38"/>
      <c r="G218" s="38"/>
      <c r="H218" s="38"/>
      <c r="I218" s="34"/>
      <c r="J218" s="35"/>
      <c r="K218" s="36"/>
      <c r="L218" s="34"/>
      <c r="M218" s="37"/>
      <c r="N218" s="36"/>
      <c r="O218" s="8"/>
    </row>
    <row r="219" spans="1:15">
      <c r="A219" s="85"/>
      <c r="B219" s="25" t="s">
        <v>32</v>
      </c>
      <c r="C219" s="33" t="s">
        <v>51</v>
      </c>
      <c r="D219" s="45"/>
      <c r="E219" s="35"/>
      <c r="F219" s="38"/>
      <c r="G219" s="38"/>
      <c r="H219" s="38"/>
      <c r="I219" s="34"/>
      <c r="J219" s="35"/>
      <c r="K219" s="36"/>
      <c r="L219" s="34"/>
      <c r="M219" s="37"/>
      <c r="N219" s="36"/>
      <c r="O219" s="8"/>
    </row>
    <row r="220" spans="1:15">
      <c r="A220" s="85"/>
      <c r="B220" s="25" t="s">
        <v>33</v>
      </c>
      <c r="C220" s="33" t="s">
        <v>51</v>
      </c>
      <c r="D220" s="45"/>
      <c r="E220" s="35"/>
      <c r="F220" s="38"/>
      <c r="G220" s="38"/>
      <c r="H220" s="38"/>
      <c r="I220" s="34"/>
      <c r="J220" s="35"/>
      <c r="K220" s="36"/>
      <c r="L220" s="34"/>
      <c r="M220" s="37"/>
      <c r="N220" s="36"/>
      <c r="O220" s="8"/>
    </row>
    <row r="221" spans="1:15">
      <c r="A221" s="85"/>
      <c r="B221" s="25" t="s">
        <v>34</v>
      </c>
      <c r="C221" s="33" t="s">
        <v>51</v>
      </c>
      <c r="D221" s="45"/>
      <c r="E221" s="35"/>
      <c r="F221" s="38"/>
      <c r="G221" s="38"/>
      <c r="H221" s="38"/>
      <c r="I221" s="34"/>
      <c r="J221" s="35"/>
      <c r="K221" s="36"/>
      <c r="L221" s="34"/>
      <c r="M221" s="37"/>
      <c r="N221" s="36"/>
      <c r="O221" s="8"/>
    </row>
    <row r="222" spans="1:15" ht="18" thickBot="1">
      <c r="A222" s="86"/>
      <c r="B222" s="96" t="s">
        <v>260</v>
      </c>
      <c r="C222" s="97"/>
      <c r="D222" s="98"/>
      <c r="E222" s="39" t="str">
        <f t="shared" ref="E222:N222" si="23">DEC2HEX(E221*128+E220*64+E219*32+E218*16+E217*8+E216*4+E215*2+E214*1)</f>
        <v>0</v>
      </c>
      <c r="F222" s="40" t="str">
        <f t="shared" si="23"/>
        <v>0</v>
      </c>
      <c r="G222" s="40" t="str">
        <f t="shared" si="23"/>
        <v>0</v>
      </c>
      <c r="H222" s="40" t="str">
        <f t="shared" si="23"/>
        <v>0</v>
      </c>
      <c r="I222" s="41" t="str">
        <f t="shared" si="23"/>
        <v>0</v>
      </c>
      <c r="J222" s="39" t="str">
        <f t="shared" si="23"/>
        <v>0</v>
      </c>
      <c r="K222" s="42" t="str">
        <f t="shared" si="23"/>
        <v>0</v>
      </c>
      <c r="L222" s="41" t="str">
        <f t="shared" si="23"/>
        <v>0</v>
      </c>
      <c r="M222" s="41" t="str">
        <f t="shared" si="23"/>
        <v>0</v>
      </c>
      <c r="N222" s="41" t="str">
        <f t="shared" si="23"/>
        <v>0</v>
      </c>
      <c r="O222" s="8"/>
    </row>
    <row r="223" spans="1:15">
      <c r="B223" s="49"/>
      <c r="C223" s="49"/>
      <c r="D223" s="52"/>
    </row>
    <row r="224" spans="1:15">
      <c r="B224" s="49"/>
      <c r="C224" s="49"/>
      <c r="D224" s="52"/>
    </row>
  </sheetData>
  <mergeCells count="252">
    <mergeCell ref="B195:D195"/>
    <mergeCell ref="B204:D204"/>
    <mergeCell ref="B213:D213"/>
    <mergeCell ref="B222:D222"/>
    <mergeCell ref="C173:C174"/>
    <mergeCell ref="C175:C176"/>
    <mergeCell ref="D173:D174"/>
    <mergeCell ref="D175:D176"/>
    <mergeCell ref="I191:I192"/>
    <mergeCell ref="I189:I190"/>
    <mergeCell ref="C189:C190"/>
    <mergeCell ref="D189:D190"/>
    <mergeCell ref="E189:E190"/>
    <mergeCell ref="F189:F190"/>
    <mergeCell ref="G189:G190"/>
    <mergeCell ref="H189:H190"/>
    <mergeCell ref="J191:J192"/>
    <mergeCell ref="K191:K192"/>
    <mergeCell ref="L191:L192"/>
    <mergeCell ref="M191:M192"/>
    <mergeCell ref="N191:N192"/>
    <mergeCell ref="C191:C192"/>
    <mergeCell ref="D191:D192"/>
    <mergeCell ref="E191:E192"/>
    <mergeCell ref="F191:F192"/>
    <mergeCell ref="G191:G192"/>
    <mergeCell ref="H191:H192"/>
    <mergeCell ref="J189:J190"/>
    <mergeCell ref="K189:K190"/>
    <mergeCell ref="L189:L190"/>
    <mergeCell ref="M189:M190"/>
    <mergeCell ref="N189:N190"/>
    <mergeCell ref="K187:K188"/>
    <mergeCell ref="L187:L188"/>
    <mergeCell ref="M187:M188"/>
    <mergeCell ref="N187:N188"/>
    <mergeCell ref="C180:C181"/>
    <mergeCell ref="D180:D181"/>
    <mergeCell ref="E180:E181"/>
    <mergeCell ref="F180:F181"/>
    <mergeCell ref="G180:G181"/>
    <mergeCell ref="N180:N181"/>
    <mergeCell ref="B186:D186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H180:H181"/>
    <mergeCell ref="I180:I181"/>
    <mergeCell ref="J180:J181"/>
    <mergeCell ref="K180:K181"/>
    <mergeCell ref="L180:L181"/>
    <mergeCell ref="M180:M181"/>
    <mergeCell ref="B168:D168"/>
    <mergeCell ref="O169:O172"/>
    <mergeCell ref="B177:D177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N127:N128"/>
    <mergeCell ref="B132:D132"/>
    <mergeCell ref="B141:D141"/>
    <mergeCell ref="B150:D150"/>
    <mergeCell ref="B159:D159"/>
    <mergeCell ref="G127:G128"/>
    <mergeCell ref="H127:H128"/>
    <mergeCell ref="I127:I128"/>
    <mergeCell ref="J127:J128"/>
    <mergeCell ref="K127:K128"/>
    <mergeCell ref="L127:L128"/>
    <mergeCell ref="B114:D114"/>
    <mergeCell ref="B123:D123"/>
    <mergeCell ref="C127:C128"/>
    <mergeCell ref="D127:D128"/>
    <mergeCell ref="E127:E128"/>
    <mergeCell ref="F127:F128"/>
    <mergeCell ref="K92:K94"/>
    <mergeCell ref="L92:L94"/>
    <mergeCell ref="M92:M94"/>
    <mergeCell ref="M127:M128"/>
    <mergeCell ref="N92:N94"/>
    <mergeCell ref="B96:D96"/>
    <mergeCell ref="B105:D105"/>
    <mergeCell ref="M88:M91"/>
    <mergeCell ref="N88:N91"/>
    <mergeCell ref="C92:C94"/>
    <mergeCell ref="D92:D94"/>
    <mergeCell ref="E92:E94"/>
    <mergeCell ref="F92:F94"/>
    <mergeCell ref="G92:G94"/>
    <mergeCell ref="H92:H94"/>
    <mergeCell ref="I92:I94"/>
    <mergeCell ref="J92:J94"/>
    <mergeCell ref="G88:G91"/>
    <mergeCell ref="H88:H91"/>
    <mergeCell ref="I88:I91"/>
    <mergeCell ref="J88:J91"/>
    <mergeCell ref="K88:K91"/>
    <mergeCell ref="L88:L91"/>
    <mergeCell ref="B78:D78"/>
    <mergeCell ref="B87:D87"/>
    <mergeCell ref="C88:C91"/>
    <mergeCell ref="D88:D91"/>
    <mergeCell ref="E88:E91"/>
    <mergeCell ref="F88:F91"/>
    <mergeCell ref="I75:I76"/>
    <mergeCell ref="J75:J76"/>
    <mergeCell ref="K75:K76"/>
    <mergeCell ref="L75:L76"/>
    <mergeCell ref="M75:M76"/>
    <mergeCell ref="N75:N76"/>
    <mergeCell ref="L65:L67"/>
    <mergeCell ref="M65:M67"/>
    <mergeCell ref="N65:N67"/>
    <mergeCell ref="B69:D69"/>
    <mergeCell ref="C75:C76"/>
    <mergeCell ref="D75:D76"/>
    <mergeCell ref="E75:E76"/>
    <mergeCell ref="F75:F76"/>
    <mergeCell ref="G75:G76"/>
    <mergeCell ref="H75:H76"/>
    <mergeCell ref="N63:N64"/>
    <mergeCell ref="C65:C67"/>
    <mergeCell ref="D65:D67"/>
    <mergeCell ref="E65:E67"/>
    <mergeCell ref="F65:F67"/>
    <mergeCell ref="G65:G67"/>
    <mergeCell ref="H65:H67"/>
    <mergeCell ref="I65:I67"/>
    <mergeCell ref="J65:J67"/>
    <mergeCell ref="K65:K67"/>
    <mergeCell ref="H63:H64"/>
    <mergeCell ref="I63:I64"/>
    <mergeCell ref="J63:J64"/>
    <mergeCell ref="K63:K64"/>
    <mergeCell ref="L63:L64"/>
    <mergeCell ref="M63:M64"/>
    <mergeCell ref="B60:D60"/>
    <mergeCell ref="C63:C64"/>
    <mergeCell ref="D63:D64"/>
    <mergeCell ref="E63:E64"/>
    <mergeCell ref="F63:F64"/>
    <mergeCell ref="G63:G64"/>
    <mergeCell ref="I52:I53"/>
    <mergeCell ref="J52:J53"/>
    <mergeCell ref="K52:K53"/>
    <mergeCell ref="B51:D51"/>
    <mergeCell ref="C52:C53"/>
    <mergeCell ref="D52:D53"/>
    <mergeCell ref="E52:E53"/>
    <mergeCell ref="F52:F53"/>
    <mergeCell ref="G52:G53"/>
    <mergeCell ref="H52:H53"/>
    <mergeCell ref="F44:F45"/>
    <mergeCell ref="G44:G45"/>
    <mergeCell ref="H44:H45"/>
    <mergeCell ref="E44:E45"/>
    <mergeCell ref="I18:I20"/>
    <mergeCell ref="J18:J20"/>
    <mergeCell ref="K18:K20"/>
    <mergeCell ref="L52:L53"/>
    <mergeCell ref="M52:M53"/>
    <mergeCell ref="N52:N53"/>
    <mergeCell ref="L44:L45"/>
    <mergeCell ref="M44:M45"/>
    <mergeCell ref="N44:N45"/>
    <mergeCell ref="I44:I45"/>
    <mergeCell ref="J44:J45"/>
    <mergeCell ref="K44:K45"/>
    <mergeCell ref="N18:N20"/>
    <mergeCell ref="K16:K17"/>
    <mergeCell ref="L16:L17"/>
    <mergeCell ref="M16:M17"/>
    <mergeCell ref="N16:N17"/>
    <mergeCell ref="C18:C20"/>
    <mergeCell ref="D18:D20"/>
    <mergeCell ref="E18:E20"/>
    <mergeCell ref="F18:F20"/>
    <mergeCell ref="G18:G20"/>
    <mergeCell ref="H18:H20"/>
    <mergeCell ref="J16:J17"/>
    <mergeCell ref="H11:H14"/>
    <mergeCell ref="I11:I14"/>
    <mergeCell ref="J11:J14"/>
    <mergeCell ref="K11:K14"/>
    <mergeCell ref="L11:L14"/>
    <mergeCell ref="M11:M14"/>
    <mergeCell ref="L18:L20"/>
    <mergeCell ref="M18:M20"/>
    <mergeCell ref="J7:J10"/>
    <mergeCell ref="K7:K10"/>
    <mergeCell ref="L7:L10"/>
    <mergeCell ref="M7:M10"/>
    <mergeCell ref="N7:N10"/>
    <mergeCell ref="C11:C14"/>
    <mergeCell ref="D11:D14"/>
    <mergeCell ref="E11:E14"/>
    <mergeCell ref="F11:F14"/>
    <mergeCell ref="G11:G14"/>
    <mergeCell ref="N11:N14"/>
    <mergeCell ref="A7:A222"/>
    <mergeCell ref="C7:C10"/>
    <mergeCell ref="D7:D10"/>
    <mergeCell ref="E7:E10"/>
    <mergeCell ref="F7:F10"/>
    <mergeCell ref="G7:G10"/>
    <mergeCell ref="H7:H10"/>
    <mergeCell ref="I7:I10"/>
    <mergeCell ref="G5:G6"/>
    <mergeCell ref="H5:H6"/>
    <mergeCell ref="I5:I6"/>
    <mergeCell ref="B15:D15"/>
    <mergeCell ref="C16:C17"/>
    <mergeCell ref="D16:D17"/>
    <mergeCell ref="E16:E17"/>
    <mergeCell ref="F16:F17"/>
    <mergeCell ref="G16:G17"/>
    <mergeCell ref="H16:H17"/>
    <mergeCell ref="I16:I17"/>
    <mergeCell ref="B24:D24"/>
    <mergeCell ref="B33:D33"/>
    <mergeCell ref="B42:D42"/>
    <mergeCell ref="C44:C45"/>
    <mergeCell ref="D44:D45"/>
    <mergeCell ref="A1:L1"/>
    <mergeCell ref="A2:D3"/>
    <mergeCell ref="E2:N3"/>
    <mergeCell ref="O2:O6"/>
    <mergeCell ref="A4:D4"/>
    <mergeCell ref="A5:A6"/>
    <mergeCell ref="B5:B6"/>
    <mergeCell ref="C5:D5"/>
    <mergeCell ref="E5:E6"/>
    <mergeCell ref="F5:F6"/>
    <mergeCell ref="M5:M6"/>
    <mergeCell ref="N5:N6"/>
    <mergeCell ref="J5:J6"/>
    <mergeCell ref="K5:K6"/>
    <mergeCell ref="L5:L6"/>
  </mergeCells>
  <phoneticPr fontId="4" type="noConversion"/>
  <pageMargins left="0.25" right="0.25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ICC配置码表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liuhailong</dc:creator>
  <cp:lastModifiedBy>1146894844@qq.com</cp:lastModifiedBy>
  <dcterms:created xsi:type="dcterms:W3CDTF">2025-11-18T05:47:23Z</dcterms:created>
  <dcterms:modified xsi:type="dcterms:W3CDTF">2025-12-05T08:19:48Z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[DocID]=92F484A0-459E-4E56-82A1-41551609A4AA</vt:lpwstr>
  </op:property>
  <op:property fmtid="{D5CDD505-2E9C-101B-9397-08002B2CF9AE}" pid="3" name="_IPGFLOW_P-F068_E-1_FP-1_SP-1_CV-21963877_CN-5F760A08">
    <vt:lpwstr>Jg6gQjr73uyZVL8gvunOUG0q4qShThH4dcMo1C8RT7NfE7yw5I7ZBDdA5w9qbppZ267qqOUDRL4JbJVt8y/onRVVu8PXhoLAUlqLlSU4C8bLGTsnkaskfj3CEwtgkzZTjjBmOBYxm7KQZJq8hQy55RvQpviD8rnPkW8U0+jD5/befKY7t6GbFxe4FsQb8QYJWMsiSN9IHmlucmWt2IXnebKKgldm3n7zU05DEHxcw921ZGxe/keWM0HkhfhVe6g</vt:lpwstr>
  </op:property>
  <op:property fmtid="{D5CDD505-2E9C-101B-9397-08002B2CF9AE}" pid="4" name="_IPGFLOW_P-F068_E-1_FP-1_SP-2_CV-9640158F_CN-4BE4A4DD">
    <vt:lpwstr>TZ9XLuLTRWK4FPnPywuho/FHJKaP6cIUtdGz6Hwvoon4ubhyMcPpxSyXP/E5My1mZ55qddqcLYaox45jp6WMNP5Q/mg687a/9D2sOOsOuiAEP9n49aHp8mmPrJcyj5Fz5D/ohLNmE53Grbh+0g+qY/LPKaVbXaDfPlk3GTsB0crmmJ1NcRMs/FlE8gT5+RUXa</vt:lpwstr>
  </op:property>
  <op:property fmtid="{D5CDD505-2E9C-101B-9397-08002B2CF9AE}" pid="5" name="_IPGFLOW_P-F068_E-0_FP-1_CV-60DDE677_CN-2C994DF4">
    <vt:lpwstr>DPSPMK|3|448|2|0</vt:lpwstr>
  </op:property>
  <op:property fmtid="{D5CDD505-2E9C-101B-9397-08002B2CF9AE}" pid="6" name="_IPGFLOW_P-F068_E-1_FP-2_SP-1_CV-D21F8668_CN-AF9DB199">
    <vt:lpwstr>Jg6gQjr73uyZVL8gvunOULlJivUU8PQ3fz/qNMTnwFFOwGtomzMlNCoetmgEFTKY9Tp5xqGD1PFKLOaKHuVlYzrccrFLDC+pPoKKdnax472Ol62Q9i77pgeyzzKbgeylXFFJWfQDTf4EWF40GwbFx2eCOBM4IxgsMZX8wJWlxPslG4iXuVG/pCEUb4jWUgY1CQeicPfDqU3c/r2pjcxTxkyrOwj/1PtIRcXVZjasNBsT3VIQHuDzhpwzsg35/LK</vt:lpwstr>
  </op:property>
  <op:property fmtid="{D5CDD505-2E9C-101B-9397-08002B2CF9AE}" pid="7" name="_IPGFLOW_P-F068_E-1_FP-2_SP-2_CV-7146C75_CN-CF2307F9">
    <vt:lpwstr>bgnAcfvGHZcCZc6kdIpOeMuoNT+0Q2eBkccgMQ6VofGvEzmhjoS6TUoNWUGNjabFBbmho45hMqQpzn1+rDDNt0w2XjiOICF5Fkd5GdDDHidKnzMpe5LrLkCukZqnlItbQiWt9pYUnb6YS6hicoD/WcIJBxZVQ+Q0dKAs8NZpA4K+u7QDLprZQuSfuyIZXucJbxIk0VqF92J1n3ooPMrXo2j0oXsgOoMEX+dJuT8MiybDKHY+DdZLFnwF0RGKQRT</vt:lpwstr>
  </op:property>
  <op:property fmtid="{D5CDD505-2E9C-101B-9397-08002B2CF9AE}" pid="8" name="_IPGFLOW_P-F068_E-1_FP-2_SP-3_CV-45D68FDA_CN-642A6DCD">
    <vt:lpwstr>cd</vt:lpwstr>
  </op:property>
  <op:property fmtid="{D5CDD505-2E9C-101B-9397-08002B2CF9AE}" pid="9" name="_IPGFLOW_P-F068_E-0_FP-2_CV-DD150EE6_CN-9804BBA7">
    <vt:lpwstr>DPSPMK|3|512|3|0</vt:lpwstr>
  </op:property>
  <op:property fmtid="{D5CDD505-2E9C-101B-9397-08002B2CF9AE}" pid="10" name="_IPGFLOW_P-F068_E-1_FP-3_SP-1_CV-5A52D2EF_CN-FF39992F">
    <vt:lpwstr>Jg6gQjr73uyZVL8gvunOUMNA6FN6ABgSz9UyoKdtUDdlSsgsEw/PQD25IWQLuanxQ7ViXAOIbBN9InZ/wOv39pxoI3Kf/EVZbVXMdeYT6nEm/iZt0nya5vEo1JHUj0QDYPFStAb3SsgHjmACCVVQZNJKyuE4g3SP14W+nVSPvhzBfl5s97XCyOAlZCm89mUU6B0bPR8leuHh54LZQP9R+Ok+lTJEQ/ONHe2W3AoJPyny39axqLi4ral8FDLTXq4</vt:lpwstr>
  </op:property>
  <op:property fmtid="{D5CDD505-2E9C-101B-9397-08002B2CF9AE}" pid="11" name="_IPGFLOW_P-F068_E-1_FP-3_SP-2_CV-197158D5_CN-1D55ED64">
    <vt:lpwstr>Rq/uhlhkyf83mBOKxFt1W13ZfZzcu2K+IsaNESjKRUMgAAojaLxmhqLRWvZpLgl65+a1MHYOZJASxW+I9DE16HjK5JsDX6h3/+Rpb//FCMHsJQGaZBwGW9kNtI2Bj8kt4Mv+m+VCJ/De6rcSni9xAYg7SsKrAalsve8yEtZlHGDh/itJU476MwkL4VfNBrc82</vt:lpwstr>
  </op:property>
  <op:property fmtid="{D5CDD505-2E9C-101B-9397-08002B2CF9AE}" pid="12" name="_IPGFLOW_P-F068_E-0_FP-3_CV-60DDE677_CN-4CC5F8BF">
    <vt:lpwstr>DPSPMK|3|448|2|0</vt:lpwstr>
  </op:property>
  <op:property fmtid="{D5CDD505-2E9C-101B-9397-08002B2CF9AE}" pid="13" name="_IPGFLOW_P-F068_E-1_FP-4_SP-1_CV-D2EF1FD0_CN-B79F657">
    <vt:lpwstr>Jg6gQjr73uyZVL8gvunOUDHD0h8HvfcseUhQ5UQkTWtFGpgIwaJzttX1bhuYPBDs3MAopixfUdOfad9AELzY78oAeIMYxkPPwlHa15rE1MfvLzk29CiuIJUSCX1vKd9yqroXTYsew8mX5eGZ6aRapH3fGIFoCECNucANMLr3GcqmVSB01khG1CEHiEhxjYbUGT1d/TWM6vBxb+tk7ak79lY5F/F2nqQOjJhIt6QvGa0kRLxTt0Eh7bUB8iXg2zL</vt:lpwstr>
  </op:property>
  <op:property fmtid="{D5CDD505-2E9C-101B-9397-08002B2CF9AE}" pid="14" name="_IPGFLOW_P-F068_E-1_FP-4_SP-2_CV-6696C549_CN-E8D97A5E">
    <vt:lpwstr>W6qXzh0zu32ArpXQuQpFsxXclqVGIXD9AZsPfaAIDXe0eeuMMT8a6vZtikpec47TENIushZvW8xg4xwfaKVSh2VaocXEmbBSZfuVrpbjU+NE6WdZkAMyjonoTrpn1WRHhUdzN1LRo0czJtPe6gzv4wEKx1ArcqPd4zRrG/6GhVVRfcB/PEOEFJomvhLPEWQQo</vt:lpwstr>
  </op:property>
  <op:property fmtid="{D5CDD505-2E9C-101B-9397-08002B2CF9AE}" pid="15" name="_IPGFLOW_P-F068_E-0_FP-4_CV-60DDE677_CN-31B6FEE7">
    <vt:lpwstr>DPSPMK|3|448|2|0</vt:lpwstr>
  </op:property>
  <op:property fmtid="{D5CDD505-2E9C-101B-9397-08002B2CF9AE}" pid="16" name="_IPGFLOW_P-F068_E-1_FP-5_SP-1_CV-503D4207_CN-5E464C2">
    <vt:lpwstr>Jg6gQjr73uyZVL8gvunOUCoCYj26MPeAWdWtSRM7wzAndd+O+jryqQ+sjKmKl/xCQLDIUXi8in2roDuYxmQ4lAo43MnzG0oVK4oGscwgMAl0tgrL4h4X/FsmeQitp86Le8xPkp1lMQvYI/S2y+zFVIwbbFpc17HVUtMS95wx5NUIps9oabKpRvuqCIItWnwxGP/MZ96tCc05t/+/jCX91fJjlavsDydC3p+3l9uxY8Gz1vfbX37IWVe+4Xs0z2T</vt:lpwstr>
  </op:property>
  <op:property fmtid="{D5CDD505-2E9C-101B-9397-08002B2CF9AE}" pid="17" name="_IPGFLOW_P-F068_E-1_FP-5_SP-2_CV-CD5EADD4_CN-FFC8078A">
    <vt:lpwstr>Q9WkfJttgfW7nS0N7yaj4RphxgcdIo2xrI6e4yL989QMZqkL8bCkjbI+q4RKciZdJJzyODoy4DKS0DITiI7YmyoT4+UeMZBA5MehERp19pcpMhXlXUJI253Qf20NYjxSUMvIU0VMQLy9uZj01B72MY9OVU8d6H9zDI4GE2X0JQM7uXUWRJ8X1EHgqweuOlbZVY8WM+YSSRB+ciuSvjYeJFAUCduG/RBScU8dD5OB3VaHTsFMF8hWQ/iu0AlKT58</vt:lpwstr>
  </op:property>
  <op:property fmtid="{D5CDD505-2E9C-101B-9397-08002B2CF9AE}" pid="18" name="_IPGFLOW_P-F068_E-1_FP-5_SP-3_CV-EBED2DC4_CN-87685F76">
    <vt:lpwstr>hIupVB3b61ONDObXw90p1Ikw==</vt:lpwstr>
  </op:property>
  <op:property fmtid="{D5CDD505-2E9C-101B-9397-08002B2CF9AE}" pid="19" name="_IPGFLOW_P-F068_E-0_FP-5_CV-655D092D_CN-9DA015F1">
    <vt:lpwstr>DPSPMK|3|536|3|0</vt:lpwstr>
  </op:property>
  <op:property fmtid="{D5CDD505-2E9C-101B-9397-08002B2CF9AE}" pid="20" name="_IPGFLOW_P-F068_E-1_FP-6_SP-1_CV-EE0971C4_CN-F75CEB54">
    <vt:lpwstr>lfDort7J77NXwdr6DE2LRx9ihYMO2LEzpuE1RxJZ37ATGh/Pks5dAnD6pVVwW/QgESRh+OqwfWeYEORXn3oVN1V9WEMiTV52+Sv1UlTXPFjaf5xgqtHyxCIbN3WCoTSPrLbXh3IANgNT06eoaO9fy7x5oxPydBPzeG/m00+4p4SVt9dxB6mwG2ayzfxk5h7EyZv6RQAEqLqOM76cIbd6nf9t73061eniePzOvbuaK+mfsesSVUsjdrMuWtiCZgO</vt:lpwstr>
  </op:property>
  <op:property fmtid="{D5CDD505-2E9C-101B-9397-08002B2CF9AE}" pid="21" name="_IPGFLOW_P-F068_E-1_FP-6_SP-2_CV-20BE96F8_CN-B9CA9843">
    <vt:lpwstr>vJvS4GK2/8GuEnFBfRx1703v7lmm8ycUF8mUE3skQVruqf3pzz8tOYeJk9E7ccJGoo88/6DQ1L5gIMnrjWhkfCT+q8NcE/5mfRfqSx9wLv2oWjDm5HoDSUHzumV/3Dte4PL5Gn1eGoTiWle+9rF1m17I9KokzV2jgFCl0Qw2kaB4=</vt:lpwstr>
  </op:property>
  <op:property fmtid="{D5CDD505-2E9C-101B-9397-08002B2CF9AE}" pid="22" name="_IPGFLOW_P-F068_E-0_FP-6_CV-B684056A_CN-61C8C736">
    <vt:lpwstr>DPSPMK|3|428|2|0</vt:lpwstr>
  </op:property>
  <op:property fmtid="{D5CDD505-2E9C-101B-9397-08002B2CF9AE}" pid="23" name="_IPGFLOW_P-F068_E-1_FP-7_SP-1_CV-F5AE5412_CN-DE1DEDF6">
    <vt:lpwstr>4iHDsDnnkvfL8SBQ/PU0OQqg1DOMRmx0SzrINGQ+BAcKlhpw3U7okl1KWT3Ee+MkhWI2+s15hRJnPydS/EeA5/p7H3lwyozw8uyBTUHX3ailRiPvUbV+WWXNV5MmiEhn8YLBr+uJ0uYUNxY3rZibS6iR1eROdG0OSwJ78gtmQtgtpXIqYJ4gq7gSoU8ONhLkGrDeS+CINtOCJfbR5ujPtCCk11PjrK6dfbEBY1YGRUB73x8gIPqgir/GnQrg1FA</vt:lpwstr>
  </op:property>
  <op:property fmtid="{D5CDD505-2E9C-101B-9397-08002B2CF9AE}" pid="24" name="_IPGFLOW_P-F068_E-1_FP-7_SP-2_CV-45D7C1CF_CN-5C83A633">
    <vt:lpwstr>Dv3s2kbgPRlco994Yu2rdf5lf0gY3IiVp4cMH9kCS7ytTZfKr3iBST7OnhMmxs/SZEJyVvdMwVAWpBS4uiUIpIJ6bHiUl+KZ5Smv4XKYGoO251DbereHXlezsB2gzS1vKdNcD3/ERPryiTIQo22GhQ9Jtzf+nQoovnoUlxsALGpd64IX3VfdWQDUyx7yh+McHF5Oy15jSNvW7AOsrWVT4ZKK2J5f0iu0Oo2NCg9elhmw=</vt:lpwstr>
  </op:property>
  <op:property fmtid="{D5CDD505-2E9C-101B-9397-08002B2CF9AE}" pid="25" name="_IPGFLOW_P-F068_E-0_FP-7_CV-96F3ED08_CN-B83D1F03">
    <vt:lpwstr>DPSPMK|3|492|2|0</vt:lpwstr>
  </op:property>
  <op:property fmtid="{D5CDD505-2E9C-101B-9397-08002B2CF9AE}" pid="26" name="_IPGFLOW_P-F068_E-0_CV-87833763_CN-AEE8991">
    <vt:lpwstr>DPFPMK|3|50|8|0</vt:lpwstr>
  </op:property>
  <op:property fmtid="{D5CDD505-2E9C-101B-9397-08002B2CF9AE}" pid="27" name="_IPGFLOW_P-F068_E-1_FP-8_SP-1_CV-728CAF05_CN-1A0560A0">
    <vt:lpwstr>z1kBhVUhM5U/8FZOvtpoNNCCPk/MIrWkAasyWEQPIA8clXmsLqZZ7+D6hhldEHkN/3SHlsnfEpHD5oZ27Eq7WWY27NvLYBF+eH6aQDt69K8RIL5xSGjz507BkHJ+PMrpZWyw+pqz+NwPEMtVCtA2Ww1xT4qmxD4Q/M+GXuKJ1Ts6RjOTxK2+8abTGB+tzn/Fj/RGXjnYEUzgLNSVUgKzvbKWueayqHMKFgeXVb+81EbmT+jkVedIbiLLkz3xbRo</vt:lpwstr>
  </op:property>
  <op:property fmtid="{D5CDD505-2E9C-101B-9397-08002B2CF9AE}" pid="28" name="_IPGFLOW_P-F068_E-1_FP-8_SP-2_CV-F284A2D1_CN-930119D8">
    <vt:lpwstr>2HVYBVYzS/l+CUqPlVUWdx++8tLNPuUD9l3X8B04CSAQdS797oyyVaSELAUqoFoxaFYAhS1dTVyFbVJ4phri062XowXHoK++hdKaE4EOFCDyFp8j1iUdts+dD0e5hdMiaoBw9kUONIqCSnfgGnS8/l60DMFQSWh/3577PZYwGEV5OjEx914oxK8U8ogrilCp8LMgYuwb95Ro9k4swh2P+bLXZjsMFmC/oBXXbyAgXhvUi+ySDu6dQ/PsST1hTrT</vt:lpwstr>
  </op:property>
  <op:property fmtid="{D5CDD505-2E9C-101B-9397-08002B2CF9AE}" pid="29" name="_IPGFLOW_P-F068_E-1_FP-8_SP-3_CV-15E26FD2_CN-294084F6">
    <vt:lpwstr>cLByh/cSKhw214WbLdCXAQSQ==</vt:lpwstr>
  </op:property>
  <op:property fmtid="{D5CDD505-2E9C-101B-9397-08002B2CF9AE}" pid="30" name="_IPGFLOW_P-F068_E-0_FP-8_CV-655D092D_CN-DA8C758F">
    <vt:lpwstr>DPSPMK|3|536|3|0</vt:lpwstr>
  </op:property>
</op:Properties>
</file>